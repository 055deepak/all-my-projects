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drawings/drawing2.xml" ContentType="application/vnd.openxmlformats-officedocument.drawing+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2.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ThisWorkbook" hidePivotFieldList="1"/>
  <mc:AlternateContent xmlns:mc="http://schemas.openxmlformats.org/markup-compatibility/2006">
    <mc:Choice Requires="x15">
      <x15ac:absPath xmlns:x15ac="http://schemas.microsoft.com/office/spreadsheetml/2010/11/ac" url="D:\Extras\Reports\VBA\New folder (2)\"/>
    </mc:Choice>
  </mc:AlternateContent>
  <xr:revisionPtr revIDLastSave="0" documentId="13_ncr:1_{27A8F118-AD38-40A0-A92D-93623ECC0244}" xr6:coauthVersionLast="36" xr6:coauthVersionMax="36" xr10:uidLastSave="{00000000-0000-0000-0000-000000000000}"/>
  <bookViews>
    <workbookView xWindow="0" yWindow="60" windowWidth="20730" windowHeight="9680" firstSheet="1" activeTab="3" xr2:uid="{00000000-000D-0000-FFFF-FFFF00000000}"/>
  </bookViews>
  <sheets>
    <sheet name="Pivots(Rec)" sheetId="6" state="hidden" r:id="rId1"/>
    <sheet name="Pivots(Brnch)" sheetId="7" r:id="rId2"/>
    <sheet name="Team Wise Dashboard" sheetId="9" r:id="rId3"/>
    <sheet name="Manager Dashboard" sheetId="10" r:id="rId4"/>
    <sheet name="Rawdata_JD" sheetId="1" r:id="rId5"/>
    <sheet name="Sheet2" sheetId="12" r:id="rId6"/>
  </sheets>
  <definedNames>
    <definedName name="_xlnm._FilterDatabase" localSheetId="4" hidden="1">Rawdata_JD!$A$1:$P$368</definedName>
    <definedName name="Division">#REF!</definedName>
    <definedName name="Pivot_Rng">OFFSET(Rawdata_JD!$A$1,0,0,COUNTA(Rawdata_JD!$A:$A),COUNTA(Rawdata_JD!$1:$1))</definedName>
    <definedName name="Slicer_Division">#N/A</definedName>
    <definedName name="Slicer_Division1">#N/A</definedName>
    <definedName name="Slicer_Manager">#N/A</definedName>
  </definedNames>
  <calcPr calcId="191029"/>
  <pivotCaches>
    <pivotCache cacheId="0" r:id="rId7"/>
    <pivotCache cacheId="1" r:id="rId8"/>
  </pivotCaches>
  <extLst>
    <ext xmlns:x14="http://schemas.microsoft.com/office/spreadsheetml/2009/9/main" uri="{BBE1A952-AA13-448e-AADC-164F8A28A991}">
      <x14:slicerCaches>
        <x14:slicerCache r:id="rId9"/>
        <x14:slicerCache r:id="rId10"/>
        <x14:slicerCache r:id="rId1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368" i="1" l="1"/>
  <c r="M368" i="1"/>
  <c r="L368" i="1"/>
  <c r="N367" i="1"/>
  <c r="M367" i="1"/>
  <c r="L367" i="1"/>
  <c r="N366" i="1"/>
  <c r="M366" i="1"/>
  <c r="L366" i="1"/>
  <c r="N365" i="1"/>
  <c r="M365" i="1"/>
  <c r="L365" i="1"/>
  <c r="N364" i="1"/>
  <c r="M364" i="1"/>
  <c r="L364" i="1"/>
  <c r="N363" i="1"/>
  <c r="M363" i="1"/>
  <c r="L363" i="1"/>
  <c r="N362" i="1"/>
  <c r="M362" i="1"/>
  <c r="L362" i="1"/>
  <c r="N361" i="1"/>
  <c r="M361" i="1"/>
  <c r="L361" i="1"/>
  <c r="N360" i="1"/>
  <c r="M360" i="1"/>
  <c r="L360" i="1"/>
  <c r="N359" i="1"/>
  <c r="M359" i="1"/>
  <c r="L359" i="1"/>
  <c r="N358" i="1"/>
  <c r="M358" i="1"/>
  <c r="L358" i="1"/>
  <c r="N357" i="1"/>
  <c r="M357" i="1"/>
  <c r="L357" i="1"/>
  <c r="N356" i="1"/>
  <c r="M356" i="1"/>
  <c r="L356" i="1"/>
  <c r="N355" i="1"/>
  <c r="M355" i="1"/>
  <c r="L355" i="1"/>
  <c r="N354" i="1"/>
  <c r="M354" i="1"/>
  <c r="L354" i="1"/>
  <c r="N353" i="1"/>
  <c r="M353" i="1"/>
  <c r="L353" i="1"/>
  <c r="N352" i="1"/>
  <c r="M352" i="1"/>
  <c r="L352" i="1"/>
  <c r="N351" i="1"/>
  <c r="M351" i="1"/>
  <c r="L351" i="1"/>
  <c r="N350" i="1"/>
  <c r="M350" i="1"/>
  <c r="L350" i="1"/>
  <c r="N349" i="1"/>
  <c r="M349" i="1"/>
  <c r="L349" i="1"/>
  <c r="N348" i="1"/>
  <c r="M348" i="1"/>
  <c r="L348" i="1"/>
  <c r="N347" i="1"/>
  <c r="M347" i="1"/>
  <c r="L347" i="1"/>
  <c r="N346" i="1"/>
  <c r="M346" i="1"/>
  <c r="L346" i="1"/>
  <c r="N345" i="1"/>
  <c r="M345" i="1"/>
  <c r="L345" i="1"/>
  <c r="N344" i="1"/>
  <c r="M344" i="1"/>
  <c r="L344" i="1"/>
  <c r="N343" i="1"/>
  <c r="M343" i="1"/>
  <c r="L343" i="1"/>
  <c r="N342" i="1"/>
  <c r="M342" i="1"/>
  <c r="L342" i="1"/>
  <c r="N341" i="1"/>
  <c r="M341" i="1"/>
  <c r="L341" i="1"/>
  <c r="N340" i="1"/>
  <c r="M340" i="1"/>
  <c r="L340" i="1"/>
  <c r="N339" i="1"/>
  <c r="M339" i="1"/>
  <c r="L339" i="1"/>
  <c r="N338" i="1"/>
  <c r="M338" i="1"/>
  <c r="L338" i="1"/>
  <c r="N337" i="1"/>
  <c r="M337" i="1"/>
  <c r="L337" i="1"/>
  <c r="N336" i="1"/>
  <c r="M336" i="1"/>
  <c r="L336" i="1"/>
  <c r="N335" i="1"/>
  <c r="M335" i="1"/>
  <c r="L335" i="1"/>
  <c r="N334" i="1"/>
  <c r="M334" i="1"/>
  <c r="L334" i="1"/>
  <c r="N333" i="1"/>
  <c r="M333" i="1"/>
  <c r="L333" i="1"/>
  <c r="N332" i="1"/>
  <c r="M332" i="1"/>
  <c r="L332" i="1"/>
  <c r="N331" i="1"/>
  <c r="M331" i="1"/>
  <c r="L331" i="1"/>
  <c r="N330" i="1"/>
  <c r="M330" i="1"/>
  <c r="L330" i="1"/>
  <c r="N329" i="1"/>
  <c r="M329" i="1"/>
  <c r="L329" i="1"/>
  <c r="N328" i="1"/>
  <c r="M328" i="1"/>
  <c r="L328" i="1"/>
  <c r="N327" i="1"/>
  <c r="M327" i="1"/>
  <c r="L327" i="1"/>
  <c r="L52" i="7" l="1"/>
  <c r="C52" i="7"/>
  <c r="D55" i="7" s="1"/>
  <c r="D52" i="7"/>
  <c r="D56" i="7" s="1"/>
  <c r="E52" i="7"/>
  <c r="D57" i="7" s="1"/>
  <c r="F52" i="7"/>
  <c r="D58" i="7" s="1"/>
  <c r="G52" i="7"/>
  <c r="H52" i="7"/>
  <c r="I52" i="7"/>
  <c r="J52" i="7"/>
  <c r="K52" i="7"/>
  <c r="L326" i="1" l="1"/>
  <c r="L325" i="1"/>
  <c r="L324" i="1"/>
  <c r="L323" i="1"/>
  <c r="L322" i="1"/>
  <c r="L321" i="1"/>
  <c r="L320" i="1"/>
  <c r="L319" i="1"/>
  <c r="L318" i="1"/>
  <c r="L317" i="1"/>
  <c r="L316" i="1"/>
  <c r="L315" i="1"/>
  <c r="L314" i="1"/>
  <c r="L313" i="1"/>
  <c r="L312" i="1"/>
  <c r="L311" i="1"/>
  <c r="L310" i="1"/>
  <c r="L309" i="1"/>
  <c r="L308" i="1"/>
  <c r="L307" i="1"/>
  <c r="L306" i="1"/>
  <c r="L305" i="1"/>
  <c r="L304" i="1"/>
  <c r="L303" i="1"/>
  <c r="L302" i="1"/>
  <c r="L301" i="1"/>
  <c r="L300" i="1"/>
  <c r="L299" i="1"/>
  <c r="L298" i="1"/>
  <c r="L297" i="1"/>
  <c r="L296" i="1"/>
  <c r="L295" i="1"/>
  <c r="L294" i="1"/>
  <c r="L293" i="1"/>
  <c r="L292" i="1"/>
  <c r="L291" i="1"/>
  <c r="L290" i="1"/>
  <c r="L289" i="1"/>
  <c r="L288" i="1"/>
  <c r="L287" i="1"/>
  <c r="L286" i="1"/>
  <c r="L285" i="1"/>
  <c r="L284" i="1"/>
  <c r="L283" i="1"/>
  <c r="L282" i="1"/>
  <c r="L281" i="1"/>
  <c r="L280" i="1"/>
  <c r="L279" i="1"/>
  <c r="L278" i="1"/>
  <c r="L277" i="1"/>
  <c r="L276" i="1"/>
  <c r="L275" i="1"/>
  <c r="L274" i="1"/>
  <c r="L273" i="1"/>
  <c r="L272" i="1"/>
  <c r="L271" i="1"/>
  <c r="L270" i="1"/>
  <c r="L269" i="1"/>
  <c r="L268" i="1"/>
  <c r="L267" i="1"/>
  <c r="L266" i="1"/>
  <c r="L265" i="1"/>
  <c r="L264" i="1"/>
  <c r="L263" i="1"/>
  <c r="L262" i="1"/>
  <c r="L261" i="1"/>
  <c r="L260" i="1"/>
  <c r="L259" i="1"/>
  <c r="L258" i="1"/>
  <c r="L257" i="1"/>
  <c r="L256" i="1"/>
  <c r="L255" i="1"/>
  <c r="L254" i="1"/>
  <c r="L253" i="1"/>
  <c r="L252" i="1"/>
  <c r="L251" i="1"/>
  <c r="L250" i="1"/>
  <c r="L249" i="1"/>
  <c r="L248" i="1"/>
  <c r="L247" i="1"/>
  <c r="L246" i="1"/>
  <c r="L245" i="1"/>
  <c r="L244" i="1"/>
  <c r="L243" i="1"/>
  <c r="L242" i="1"/>
  <c r="L241" i="1"/>
  <c r="L240" i="1"/>
  <c r="L239" i="1"/>
  <c r="L238" i="1"/>
  <c r="L237" i="1"/>
  <c r="L236" i="1"/>
  <c r="L235" i="1"/>
  <c r="L234" i="1"/>
  <c r="L233" i="1"/>
  <c r="L232" i="1"/>
  <c r="L231" i="1"/>
  <c r="L230" i="1"/>
  <c r="L229" i="1"/>
  <c r="L228" i="1"/>
  <c r="L227" i="1"/>
  <c r="L226" i="1"/>
  <c r="L225" i="1"/>
  <c r="L224" i="1"/>
  <c r="L223" i="1"/>
  <c r="L222" i="1"/>
  <c r="L221" i="1"/>
  <c r="L220" i="1"/>
  <c r="L219" i="1"/>
  <c r="L218" i="1"/>
  <c r="L217" i="1"/>
  <c r="L216" i="1"/>
  <c r="L215" i="1"/>
  <c r="L214" i="1"/>
  <c r="L213" i="1"/>
  <c r="L212" i="1"/>
  <c r="L211" i="1"/>
  <c r="L210" i="1"/>
  <c r="L209" i="1"/>
  <c r="L208" i="1"/>
  <c r="L207" i="1"/>
  <c r="L206" i="1"/>
  <c r="L205" i="1"/>
  <c r="L204" i="1"/>
  <c r="L203" i="1"/>
  <c r="L202" i="1"/>
  <c r="L201" i="1"/>
  <c r="L200" i="1"/>
  <c r="L199" i="1"/>
  <c r="L198" i="1"/>
  <c r="L197" i="1"/>
  <c r="L196" i="1"/>
  <c r="L195" i="1"/>
  <c r="L194" i="1"/>
  <c r="L193" i="1"/>
  <c r="L192" i="1"/>
  <c r="L191" i="1"/>
  <c r="L190" i="1"/>
  <c r="L189" i="1"/>
  <c r="L188" i="1"/>
  <c r="L187" i="1"/>
  <c r="L186" i="1"/>
  <c r="L185" i="1"/>
  <c r="L184" i="1"/>
  <c r="L183" i="1"/>
  <c r="L182" i="1"/>
  <c r="L181" i="1"/>
  <c r="L180" i="1"/>
  <c r="L179" i="1"/>
  <c r="L178" i="1"/>
  <c r="L177" i="1"/>
  <c r="L176" i="1"/>
  <c r="L175" i="1"/>
  <c r="L174" i="1"/>
  <c r="L173" i="1"/>
  <c r="L172" i="1"/>
  <c r="L171" i="1"/>
  <c r="L170" i="1"/>
  <c r="L169" i="1"/>
  <c r="L168" i="1"/>
  <c r="L167" i="1"/>
  <c r="L166" i="1"/>
  <c r="L165" i="1"/>
  <c r="L164" i="1"/>
  <c r="L163" i="1"/>
  <c r="L162" i="1"/>
  <c r="L161" i="1"/>
  <c r="L160" i="1"/>
  <c r="L159" i="1"/>
  <c r="L158" i="1"/>
  <c r="L157" i="1"/>
  <c r="L156" i="1"/>
  <c r="L155" i="1"/>
  <c r="L154" i="1"/>
  <c r="L153" i="1"/>
  <c r="L152" i="1"/>
  <c r="L151" i="1"/>
  <c r="L150" i="1"/>
  <c r="L149" i="1"/>
  <c r="L148" i="1"/>
  <c r="L147" i="1"/>
  <c r="L146" i="1"/>
  <c r="L145" i="1"/>
  <c r="L144" i="1"/>
  <c r="L143" i="1"/>
  <c r="L142" i="1"/>
  <c r="L141" i="1"/>
  <c r="L140" i="1"/>
  <c r="L139" i="1"/>
  <c r="L138" i="1"/>
  <c r="L137" i="1"/>
  <c r="L136" i="1"/>
  <c r="L135" i="1"/>
  <c r="L134" i="1"/>
  <c r="L133" i="1"/>
  <c r="L132" i="1"/>
  <c r="L131" i="1"/>
  <c r="L130" i="1"/>
  <c r="L129" i="1"/>
  <c r="L128" i="1"/>
  <c r="L127" i="1"/>
  <c r="L126" i="1"/>
  <c r="L125" i="1"/>
  <c r="L124" i="1"/>
  <c r="L123" i="1"/>
  <c r="L122" i="1"/>
  <c r="L121" i="1"/>
  <c r="L120" i="1"/>
  <c r="L119" i="1"/>
  <c r="L118" i="1"/>
  <c r="L117" i="1"/>
  <c r="L116" i="1"/>
  <c r="L115" i="1"/>
  <c r="L114" i="1"/>
  <c r="L113" i="1"/>
  <c r="L112" i="1"/>
  <c r="L111" i="1"/>
  <c r="L110" i="1"/>
  <c r="L109" i="1"/>
  <c r="L108" i="1"/>
  <c r="L107" i="1"/>
  <c r="L106" i="1"/>
  <c r="L105" i="1"/>
  <c r="L104" i="1"/>
  <c r="L103" i="1"/>
  <c r="L102" i="1"/>
  <c r="L101" i="1"/>
  <c r="L100" i="1"/>
  <c r="L99" i="1"/>
  <c r="L98" i="1"/>
  <c r="L97" i="1"/>
  <c r="L96" i="1"/>
  <c r="L95" i="1"/>
  <c r="L94" i="1"/>
  <c r="L93" i="1"/>
  <c r="L92" i="1"/>
  <c r="L91" i="1"/>
  <c r="L90" i="1"/>
  <c r="L89" i="1"/>
  <c r="L88" i="1"/>
  <c r="L87" i="1"/>
  <c r="L86" i="1"/>
  <c r="L85" i="1"/>
  <c r="L84" i="1"/>
  <c r="L83" i="1"/>
  <c r="L82" i="1"/>
  <c r="L81" i="1"/>
  <c r="L80" i="1"/>
  <c r="L79" i="1"/>
  <c r="L78" i="1"/>
  <c r="L77" i="1"/>
  <c r="L76" i="1"/>
  <c r="L75" i="1"/>
  <c r="L74" i="1"/>
  <c r="L73" i="1"/>
  <c r="L72" i="1"/>
  <c r="L71" i="1"/>
  <c r="L70" i="1"/>
  <c r="L69" i="1"/>
  <c r="L68" i="1"/>
  <c r="L67" i="1"/>
  <c r="L66" i="1"/>
  <c r="L65" i="1"/>
  <c r="L64" i="1"/>
  <c r="L63" i="1"/>
  <c r="L62" i="1"/>
  <c r="L61" i="1"/>
  <c r="L60" i="1"/>
  <c r="L59" i="1"/>
  <c r="L58" i="1"/>
  <c r="L57" i="1"/>
  <c r="L56" i="1"/>
  <c r="L55" i="1"/>
  <c r="L54" i="1"/>
  <c r="L53" i="1"/>
  <c r="L52" i="1"/>
  <c r="L51" i="1"/>
  <c r="L50" i="1"/>
  <c r="L49" i="1"/>
  <c r="L48" i="1"/>
  <c r="L47" i="1"/>
  <c r="L46" i="1"/>
  <c r="L45" i="1"/>
  <c r="L44" i="1"/>
  <c r="L43" i="1"/>
  <c r="L42" i="1"/>
  <c r="L41" i="1"/>
  <c r="L40" i="1"/>
  <c r="L39" i="1"/>
  <c r="L38" i="1"/>
  <c r="L37" i="1"/>
  <c r="L36" i="1"/>
  <c r="L35" i="1"/>
  <c r="L34" i="1"/>
  <c r="L33" i="1"/>
  <c r="L32" i="1"/>
  <c r="L31" i="1"/>
  <c r="L30" i="1"/>
  <c r="L29" i="1"/>
  <c r="L28" i="1"/>
  <c r="L27" i="1"/>
  <c r="L26" i="1"/>
  <c r="L25" i="1"/>
  <c r="L24" i="1"/>
  <c r="L23" i="1"/>
  <c r="L22" i="1"/>
  <c r="L21" i="1"/>
  <c r="L20" i="1"/>
  <c r="L19" i="1"/>
  <c r="L18" i="1"/>
  <c r="L17" i="1"/>
  <c r="L16" i="1"/>
  <c r="L15" i="1"/>
  <c r="L14" i="1"/>
  <c r="L13" i="1"/>
  <c r="L12" i="1"/>
  <c r="L11" i="1"/>
  <c r="L10" i="1"/>
  <c r="L9" i="1"/>
  <c r="L8" i="1"/>
  <c r="L7" i="1"/>
  <c r="L6" i="1"/>
  <c r="L5" i="1"/>
  <c r="L4" i="1"/>
  <c r="L3" i="1"/>
  <c r="L2" i="1"/>
  <c r="N326" i="1"/>
  <c r="N325" i="1"/>
  <c r="N324" i="1"/>
  <c r="N323" i="1"/>
  <c r="N322" i="1"/>
  <c r="N321" i="1"/>
  <c r="N320" i="1"/>
  <c r="N319" i="1"/>
  <c r="N318" i="1"/>
  <c r="N317" i="1"/>
  <c r="N316" i="1"/>
  <c r="N315" i="1"/>
  <c r="N314" i="1"/>
  <c r="N313" i="1"/>
  <c r="N312" i="1"/>
  <c r="N311" i="1"/>
  <c r="N310" i="1"/>
  <c r="N309" i="1"/>
  <c r="N308" i="1"/>
  <c r="N307" i="1"/>
  <c r="N306" i="1"/>
  <c r="N305" i="1"/>
  <c r="N304" i="1"/>
  <c r="N303" i="1"/>
  <c r="N302" i="1"/>
  <c r="N301" i="1"/>
  <c r="N300" i="1"/>
  <c r="N299" i="1"/>
  <c r="N298" i="1"/>
  <c r="N297" i="1"/>
  <c r="N296" i="1"/>
  <c r="N295" i="1"/>
  <c r="N294" i="1"/>
  <c r="N293" i="1"/>
  <c r="N292" i="1"/>
  <c r="N291" i="1"/>
  <c r="N290" i="1"/>
  <c r="N289" i="1"/>
  <c r="N288" i="1"/>
  <c r="N287" i="1"/>
  <c r="N286" i="1"/>
  <c r="N285" i="1"/>
  <c r="N284" i="1"/>
  <c r="N283" i="1"/>
  <c r="N282" i="1"/>
  <c r="N281" i="1"/>
  <c r="N280" i="1"/>
  <c r="N279" i="1"/>
  <c r="N278" i="1"/>
  <c r="N277" i="1"/>
  <c r="N276" i="1"/>
  <c r="N275" i="1"/>
  <c r="N274" i="1"/>
  <c r="N273" i="1"/>
  <c r="N272" i="1"/>
  <c r="N271" i="1"/>
  <c r="N270" i="1"/>
  <c r="N269" i="1"/>
  <c r="N268" i="1"/>
  <c r="N267" i="1"/>
  <c r="N266" i="1"/>
  <c r="N265" i="1"/>
  <c r="N264" i="1"/>
  <c r="N263" i="1"/>
  <c r="N262" i="1"/>
  <c r="N261" i="1"/>
  <c r="N260" i="1"/>
  <c r="N259" i="1"/>
  <c r="N258" i="1"/>
  <c r="N257" i="1"/>
  <c r="N256" i="1"/>
  <c r="N255" i="1"/>
  <c r="N254" i="1"/>
  <c r="N253" i="1"/>
  <c r="N252" i="1"/>
  <c r="N251" i="1"/>
  <c r="N250" i="1"/>
  <c r="N249" i="1"/>
  <c r="N248" i="1"/>
  <c r="N247" i="1"/>
  <c r="N246" i="1"/>
  <c r="N245" i="1"/>
  <c r="N244" i="1"/>
  <c r="N243" i="1"/>
  <c r="N242" i="1"/>
  <c r="N241" i="1"/>
  <c r="N240" i="1"/>
  <c r="N239" i="1"/>
  <c r="N238" i="1"/>
  <c r="N237" i="1"/>
  <c r="N236" i="1"/>
  <c r="N235" i="1"/>
  <c r="N234" i="1"/>
  <c r="N233" i="1"/>
  <c r="N232" i="1"/>
  <c r="N231" i="1"/>
  <c r="N230" i="1"/>
  <c r="N229" i="1"/>
  <c r="N228" i="1"/>
  <c r="N227" i="1"/>
  <c r="N226" i="1"/>
  <c r="N225" i="1"/>
  <c r="N224" i="1"/>
  <c r="N223" i="1"/>
  <c r="N222" i="1"/>
  <c r="N221" i="1"/>
  <c r="N220" i="1"/>
  <c r="N219" i="1"/>
  <c r="N218" i="1"/>
  <c r="N217" i="1"/>
  <c r="N216" i="1"/>
  <c r="N215" i="1"/>
  <c r="N214" i="1"/>
  <c r="N213" i="1"/>
  <c r="N212" i="1"/>
  <c r="N211" i="1"/>
  <c r="N210" i="1"/>
  <c r="N209" i="1"/>
  <c r="N208" i="1"/>
  <c r="N207" i="1"/>
  <c r="N206" i="1"/>
  <c r="N205" i="1"/>
  <c r="N204" i="1"/>
  <c r="N203" i="1"/>
  <c r="N202" i="1"/>
  <c r="N201" i="1"/>
  <c r="N200" i="1"/>
  <c r="N199" i="1"/>
  <c r="N198" i="1"/>
  <c r="N197" i="1"/>
  <c r="N196" i="1"/>
  <c r="N195" i="1"/>
  <c r="N194" i="1"/>
  <c r="N193" i="1"/>
  <c r="N192" i="1"/>
  <c r="N191" i="1"/>
  <c r="N190" i="1"/>
  <c r="N189" i="1"/>
  <c r="N188" i="1"/>
  <c r="N187" i="1"/>
  <c r="N186" i="1"/>
  <c r="N185" i="1"/>
  <c r="N184" i="1"/>
  <c r="N183" i="1"/>
  <c r="N182" i="1"/>
  <c r="N181" i="1"/>
  <c r="N180" i="1"/>
  <c r="N179" i="1"/>
  <c r="N178" i="1"/>
  <c r="N177" i="1"/>
  <c r="N176" i="1"/>
  <c r="N175" i="1"/>
  <c r="N174" i="1"/>
  <c r="N173" i="1"/>
  <c r="N172" i="1"/>
  <c r="N171" i="1"/>
  <c r="N170" i="1"/>
  <c r="N169" i="1"/>
  <c r="N168" i="1"/>
  <c r="N167" i="1"/>
  <c r="N166" i="1"/>
  <c r="N165" i="1"/>
  <c r="N164" i="1"/>
  <c r="N163" i="1"/>
  <c r="N162" i="1"/>
  <c r="N161" i="1"/>
  <c r="N160" i="1"/>
  <c r="N159" i="1"/>
  <c r="N158" i="1"/>
  <c r="N157" i="1"/>
  <c r="N156" i="1"/>
  <c r="N155" i="1"/>
  <c r="N154" i="1"/>
  <c r="N153" i="1"/>
  <c r="N152" i="1"/>
  <c r="N151" i="1"/>
  <c r="N150" i="1"/>
  <c r="N149" i="1"/>
  <c r="N148" i="1"/>
  <c r="N147" i="1"/>
  <c r="N146" i="1"/>
  <c r="N145" i="1"/>
  <c r="N144" i="1"/>
  <c r="N143" i="1"/>
  <c r="N142" i="1"/>
  <c r="N141" i="1"/>
  <c r="N140" i="1"/>
  <c r="N139" i="1"/>
  <c r="N138" i="1"/>
  <c r="N137" i="1"/>
  <c r="N136" i="1"/>
  <c r="N135" i="1"/>
  <c r="N134" i="1"/>
  <c r="N133" i="1"/>
  <c r="N132" i="1"/>
  <c r="N131" i="1"/>
  <c r="N130" i="1"/>
  <c r="N129" i="1"/>
  <c r="N128" i="1"/>
  <c r="N127" i="1"/>
  <c r="N126" i="1"/>
  <c r="N125" i="1"/>
  <c r="N124" i="1"/>
  <c r="N123" i="1"/>
  <c r="N122" i="1"/>
  <c r="N121" i="1"/>
  <c r="N120" i="1"/>
  <c r="N119" i="1"/>
  <c r="N118" i="1"/>
  <c r="N117" i="1"/>
  <c r="N116" i="1"/>
  <c r="N115" i="1"/>
  <c r="N114" i="1"/>
  <c r="N113" i="1"/>
  <c r="N112" i="1"/>
  <c r="N111" i="1"/>
  <c r="N110" i="1"/>
  <c r="N109" i="1"/>
  <c r="N108" i="1"/>
  <c r="N107" i="1"/>
  <c r="N106" i="1"/>
  <c r="N105" i="1"/>
  <c r="N104" i="1"/>
  <c r="N103" i="1"/>
  <c r="N102" i="1"/>
  <c r="N101" i="1"/>
  <c r="N100" i="1"/>
  <c r="N99" i="1"/>
  <c r="N98" i="1"/>
  <c r="N97" i="1"/>
  <c r="N96" i="1"/>
  <c r="N95" i="1"/>
  <c r="N94" i="1"/>
  <c r="N93" i="1"/>
  <c r="N92" i="1"/>
  <c r="N91" i="1"/>
  <c r="N90" i="1"/>
  <c r="N89" i="1"/>
  <c r="N88" i="1"/>
  <c r="N87" i="1"/>
  <c r="N86" i="1"/>
  <c r="N85" i="1"/>
  <c r="N84" i="1"/>
  <c r="N83" i="1"/>
  <c r="N82" i="1"/>
  <c r="N81" i="1"/>
  <c r="N80" i="1"/>
  <c r="N79" i="1"/>
  <c r="N78" i="1"/>
  <c r="N77" i="1"/>
  <c r="N76" i="1"/>
  <c r="N75" i="1"/>
  <c r="N74" i="1"/>
  <c r="N73" i="1"/>
  <c r="N72" i="1"/>
  <c r="N71" i="1"/>
  <c r="N70" i="1"/>
  <c r="N69" i="1"/>
  <c r="N68" i="1"/>
  <c r="N67" i="1"/>
  <c r="N66" i="1"/>
  <c r="N65" i="1"/>
  <c r="N64" i="1"/>
  <c r="N63" i="1"/>
  <c r="N62" i="1"/>
  <c r="N61" i="1"/>
  <c r="N60" i="1"/>
  <c r="N59" i="1"/>
  <c r="N58" i="1"/>
  <c r="N57" i="1"/>
  <c r="N56" i="1"/>
  <c r="N55" i="1"/>
  <c r="N54" i="1"/>
  <c r="N53" i="1"/>
  <c r="N52" i="1"/>
  <c r="N51" i="1"/>
  <c r="N50" i="1"/>
  <c r="N49" i="1"/>
  <c r="N48" i="1"/>
  <c r="N47" i="1"/>
  <c r="N46" i="1"/>
  <c r="N45" i="1"/>
  <c r="N44" i="1"/>
  <c r="N43" i="1"/>
  <c r="N42" i="1"/>
  <c r="N41" i="1"/>
  <c r="N40" i="1"/>
  <c r="N39" i="1"/>
  <c r="N38" i="1"/>
  <c r="N37" i="1"/>
  <c r="N36" i="1"/>
  <c r="N35" i="1"/>
  <c r="N34" i="1"/>
  <c r="N33" i="1"/>
  <c r="N32" i="1"/>
  <c r="N31" i="1"/>
  <c r="N30" i="1"/>
  <c r="N29" i="1"/>
  <c r="N28" i="1"/>
  <c r="N27" i="1"/>
  <c r="N26" i="1"/>
  <c r="N25" i="1"/>
  <c r="N24" i="1"/>
  <c r="N23" i="1"/>
  <c r="N22" i="1"/>
  <c r="N21" i="1"/>
  <c r="N20" i="1"/>
  <c r="N19" i="1"/>
  <c r="N18" i="1"/>
  <c r="N17" i="1"/>
  <c r="N16" i="1"/>
  <c r="N15" i="1"/>
  <c r="N14" i="1"/>
  <c r="N13" i="1"/>
  <c r="N12" i="1"/>
  <c r="N11" i="1"/>
  <c r="N10" i="1"/>
  <c r="N9" i="1"/>
  <c r="N8" i="1"/>
  <c r="N7" i="1"/>
  <c r="N6" i="1"/>
  <c r="N5" i="1"/>
  <c r="N4" i="1"/>
  <c r="N3" i="1"/>
  <c r="N2" i="1"/>
  <c r="M326" i="1"/>
  <c r="M325" i="1"/>
  <c r="M324" i="1"/>
  <c r="M323" i="1"/>
  <c r="M322" i="1"/>
  <c r="M321" i="1"/>
  <c r="M320" i="1"/>
  <c r="M319" i="1"/>
  <c r="M318" i="1"/>
  <c r="M317" i="1"/>
  <c r="M316" i="1"/>
  <c r="M315" i="1"/>
  <c r="M314" i="1"/>
  <c r="M313" i="1"/>
  <c r="M312" i="1"/>
  <c r="M311" i="1"/>
  <c r="M310" i="1"/>
  <c r="M309" i="1"/>
  <c r="M308" i="1"/>
  <c r="M307" i="1"/>
  <c r="M306" i="1"/>
  <c r="M305" i="1"/>
  <c r="M304" i="1"/>
  <c r="M303" i="1"/>
  <c r="M302" i="1"/>
  <c r="M301" i="1"/>
  <c r="M300" i="1"/>
  <c r="M299" i="1"/>
  <c r="M298" i="1"/>
  <c r="M297" i="1"/>
  <c r="M296" i="1"/>
  <c r="M295" i="1"/>
  <c r="M294" i="1"/>
  <c r="M293" i="1"/>
  <c r="M292" i="1"/>
  <c r="M291" i="1"/>
  <c r="M290" i="1"/>
  <c r="M289" i="1"/>
  <c r="M288" i="1"/>
  <c r="M287" i="1"/>
  <c r="M286" i="1"/>
  <c r="M285" i="1"/>
  <c r="M284" i="1"/>
  <c r="M283" i="1"/>
  <c r="M282" i="1"/>
  <c r="M281" i="1"/>
  <c r="M280" i="1"/>
  <c r="M279" i="1"/>
  <c r="M278" i="1"/>
  <c r="M277" i="1"/>
  <c r="M276" i="1"/>
  <c r="M275" i="1"/>
  <c r="M274" i="1"/>
  <c r="M273" i="1"/>
  <c r="M272" i="1"/>
  <c r="M271" i="1"/>
  <c r="M270" i="1"/>
  <c r="M269" i="1"/>
  <c r="M268" i="1"/>
  <c r="M267" i="1"/>
  <c r="M266" i="1"/>
  <c r="M265" i="1"/>
  <c r="M264" i="1"/>
  <c r="M263" i="1"/>
  <c r="M262" i="1"/>
  <c r="M261" i="1"/>
  <c r="M260" i="1"/>
  <c r="M259" i="1"/>
  <c r="M258" i="1"/>
  <c r="M257" i="1"/>
  <c r="M256" i="1"/>
  <c r="M255" i="1"/>
  <c r="M254" i="1"/>
  <c r="M253" i="1"/>
  <c r="M252" i="1"/>
  <c r="M251" i="1"/>
  <c r="M250" i="1"/>
  <c r="M249" i="1"/>
  <c r="M248" i="1"/>
  <c r="M247" i="1"/>
  <c r="M246" i="1"/>
  <c r="M245" i="1"/>
  <c r="M244" i="1"/>
  <c r="M243" i="1"/>
  <c r="M242" i="1"/>
  <c r="M241" i="1"/>
  <c r="M240" i="1"/>
  <c r="M239" i="1"/>
  <c r="M238" i="1"/>
  <c r="M237" i="1"/>
  <c r="M236" i="1"/>
  <c r="M235" i="1"/>
  <c r="M234" i="1"/>
  <c r="M233" i="1"/>
  <c r="M232" i="1"/>
  <c r="M231" i="1"/>
  <c r="M230" i="1"/>
  <c r="M229" i="1"/>
  <c r="M228" i="1"/>
  <c r="M227" i="1"/>
  <c r="M226" i="1"/>
  <c r="M225" i="1"/>
  <c r="M224" i="1"/>
  <c r="M223" i="1"/>
  <c r="M222" i="1"/>
  <c r="M221" i="1"/>
  <c r="M220" i="1"/>
  <c r="M219" i="1"/>
  <c r="M218" i="1"/>
  <c r="M217" i="1"/>
  <c r="M216" i="1"/>
  <c r="M215" i="1"/>
  <c r="M214" i="1"/>
  <c r="M213" i="1"/>
  <c r="M212" i="1"/>
  <c r="M211" i="1"/>
  <c r="M210" i="1"/>
  <c r="M209" i="1"/>
  <c r="M208" i="1"/>
  <c r="M207" i="1"/>
  <c r="M206" i="1"/>
  <c r="M205" i="1"/>
  <c r="M204" i="1"/>
  <c r="M203" i="1"/>
  <c r="M202" i="1"/>
  <c r="M201" i="1"/>
  <c r="M200" i="1"/>
  <c r="M199" i="1"/>
  <c r="M198" i="1"/>
  <c r="M197" i="1"/>
  <c r="M196" i="1"/>
  <c r="M195" i="1"/>
  <c r="M194" i="1"/>
  <c r="M193" i="1"/>
  <c r="M192" i="1"/>
  <c r="M191" i="1"/>
  <c r="M190" i="1"/>
  <c r="M189" i="1"/>
  <c r="M188" i="1"/>
  <c r="M187" i="1"/>
  <c r="M186" i="1"/>
  <c r="M185" i="1"/>
  <c r="M184" i="1"/>
  <c r="M183" i="1"/>
  <c r="M182" i="1"/>
  <c r="M181" i="1"/>
  <c r="M180" i="1"/>
  <c r="M179" i="1"/>
  <c r="M178" i="1"/>
  <c r="M177" i="1"/>
  <c r="M176" i="1"/>
  <c r="M175" i="1"/>
  <c r="M174" i="1"/>
  <c r="M173" i="1"/>
  <c r="M172" i="1"/>
  <c r="M171" i="1"/>
  <c r="M170" i="1"/>
  <c r="M169" i="1"/>
  <c r="M168" i="1"/>
  <c r="M167" i="1"/>
  <c r="M166" i="1"/>
  <c r="M165" i="1"/>
  <c r="M164" i="1"/>
  <c r="M163" i="1"/>
  <c r="M162" i="1"/>
  <c r="M161" i="1"/>
  <c r="M160" i="1"/>
  <c r="M159" i="1"/>
  <c r="M158" i="1"/>
  <c r="M157" i="1"/>
  <c r="M156" i="1"/>
  <c r="M155" i="1"/>
  <c r="M154" i="1"/>
  <c r="M153" i="1"/>
  <c r="M152" i="1"/>
  <c r="M151" i="1"/>
  <c r="M150" i="1"/>
  <c r="M149" i="1"/>
  <c r="M148" i="1"/>
  <c r="M147" i="1"/>
  <c r="M146" i="1"/>
  <c r="M145" i="1"/>
  <c r="M144" i="1"/>
  <c r="M143" i="1"/>
  <c r="M142" i="1"/>
  <c r="M141" i="1"/>
  <c r="M140" i="1"/>
  <c r="M139" i="1"/>
  <c r="M138" i="1"/>
  <c r="M137" i="1"/>
  <c r="M136" i="1"/>
  <c r="M135" i="1"/>
  <c r="M134" i="1"/>
  <c r="M133" i="1"/>
  <c r="M132" i="1"/>
  <c r="M131" i="1"/>
  <c r="M130" i="1"/>
  <c r="M129" i="1"/>
  <c r="M128" i="1"/>
  <c r="M127" i="1"/>
  <c r="M126" i="1"/>
  <c r="M125" i="1"/>
  <c r="M124" i="1"/>
  <c r="M123" i="1"/>
  <c r="M122" i="1"/>
  <c r="M121" i="1"/>
  <c r="M120" i="1"/>
  <c r="M119" i="1"/>
  <c r="M118" i="1"/>
  <c r="M117" i="1"/>
  <c r="M116" i="1"/>
  <c r="M115" i="1"/>
  <c r="M114" i="1"/>
  <c r="M113" i="1"/>
  <c r="M112" i="1"/>
  <c r="M111" i="1"/>
  <c r="M110" i="1"/>
  <c r="M109" i="1"/>
  <c r="M108" i="1"/>
  <c r="M107" i="1"/>
  <c r="M106" i="1"/>
  <c r="M105" i="1"/>
  <c r="M104" i="1"/>
  <c r="M103" i="1"/>
  <c r="M102" i="1"/>
  <c r="M101" i="1"/>
  <c r="M100" i="1"/>
  <c r="M99" i="1"/>
  <c r="M98" i="1"/>
  <c r="M97" i="1"/>
  <c r="M96" i="1"/>
  <c r="M95" i="1"/>
  <c r="M94" i="1"/>
  <c r="M93" i="1"/>
  <c r="M92" i="1"/>
  <c r="M91" i="1"/>
  <c r="M90" i="1"/>
  <c r="M89" i="1"/>
  <c r="M88" i="1"/>
  <c r="M87" i="1"/>
  <c r="M86" i="1"/>
  <c r="M85" i="1"/>
  <c r="M84" i="1"/>
  <c r="M83" i="1"/>
  <c r="M82" i="1"/>
  <c r="M81" i="1"/>
  <c r="M80" i="1"/>
  <c r="M79" i="1"/>
  <c r="M78" i="1"/>
  <c r="M77" i="1"/>
  <c r="M76" i="1"/>
  <c r="M75" i="1"/>
  <c r="M74" i="1"/>
  <c r="M73" i="1"/>
  <c r="M72" i="1"/>
  <c r="M71" i="1"/>
  <c r="M70" i="1"/>
  <c r="M69" i="1"/>
  <c r="M68" i="1"/>
  <c r="M67" i="1"/>
  <c r="M66" i="1"/>
  <c r="M65" i="1"/>
  <c r="M64" i="1"/>
  <c r="M63" i="1"/>
  <c r="M62" i="1"/>
  <c r="M61" i="1"/>
  <c r="M60" i="1"/>
  <c r="M59" i="1"/>
  <c r="M58" i="1"/>
  <c r="M57" i="1"/>
  <c r="M56" i="1"/>
  <c r="M55" i="1"/>
  <c r="M54" i="1"/>
  <c r="M53" i="1"/>
  <c r="M52" i="1"/>
  <c r="M51" i="1"/>
  <c r="M50" i="1"/>
  <c r="M49" i="1"/>
  <c r="M48" i="1"/>
  <c r="M47" i="1"/>
  <c r="M46" i="1"/>
  <c r="M45" i="1"/>
  <c r="M44" i="1"/>
  <c r="M43" i="1"/>
  <c r="M42" i="1"/>
  <c r="M41" i="1"/>
  <c r="M40" i="1"/>
  <c r="M39" i="1"/>
  <c r="M38" i="1"/>
  <c r="M37" i="1"/>
  <c r="M36" i="1"/>
  <c r="M35" i="1"/>
  <c r="M34" i="1"/>
  <c r="M33" i="1"/>
  <c r="M32" i="1"/>
  <c r="M31" i="1"/>
  <c r="M30" i="1"/>
  <c r="M29" i="1"/>
  <c r="M28" i="1"/>
  <c r="M27" i="1"/>
  <c r="M26" i="1"/>
  <c r="M25" i="1"/>
  <c r="M24" i="1"/>
  <c r="M23" i="1"/>
  <c r="M22" i="1"/>
  <c r="M21" i="1"/>
  <c r="M20" i="1"/>
  <c r="M19" i="1"/>
  <c r="M18" i="1"/>
  <c r="M17" i="1"/>
  <c r="M16" i="1"/>
  <c r="M15" i="1"/>
  <c r="M14" i="1"/>
  <c r="M13" i="1"/>
  <c r="M12" i="1"/>
  <c r="M11" i="1"/>
  <c r="M10" i="1"/>
  <c r="M9" i="1"/>
  <c r="M8" i="1"/>
  <c r="M7" i="1"/>
  <c r="M6" i="1"/>
  <c r="M5" i="1"/>
  <c r="M4" i="1"/>
  <c r="M3" i="1"/>
  <c r="M2" i="1"/>
  <c r="O12" i="6" l="1"/>
  <c r="O13" i="6"/>
  <c r="O14" i="6"/>
  <c r="O15" i="6"/>
  <c r="O11" i="6"/>
  <c r="N15" i="6"/>
  <c r="N14" i="6"/>
  <c r="N13" i="6"/>
  <c r="N12" i="6"/>
  <c r="N11" i="6"/>
  <c r="O16" i="7" l="1"/>
  <c r="O15" i="7"/>
  <c r="O14" i="7"/>
  <c r="O13" i="7"/>
  <c r="O12" i="7"/>
  <c r="N16" i="7"/>
  <c r="N15" i="7"/>
  <c r="N14" i="7"/>
  <c r="N13" i="7"/>
  <c r="N12" i="7"/>
  <c r="M16" i="7"/>
  <c r="M15" i="7"/>
  <c r="M14" i="7"/>
  <c r="M13" i="7"/>
  <c r="M12" i="7"/>
  <c r="L16" i="7"/>
  <c r="L15" i="7"/>
  <c r="L14" i="7"/>
  <c r="L13" i="7"/>
  <c r="L12" i="7"/>
  <c r="K16" i="7"/>
  <c r="K15" i="7"/>
  <c r="K14" i="7"/>
  <c r="K13" i="7"/>
  <c r="K12" i="7"/>
  <c r="J13" i="7"/>
  <c r="J14" i="7"/>
  <c r="J15" i="7"/>
  <c r="J16" i="7"/>
  <c r="J12" i="7"/>
  <c r="Q4" i="7" l="1"/>
  <c r="P4" i="7"/>
  <c r="O4" i="7"/>
  <c r="N4" i="7"/>
  <c r="M4" i="7"/>
  <c r="L4" i="7"/>
  <c r="K4" i="7"/>
  <c r="L12" i="6" l="1"/>
  <c r="M12" i="6"/>
  <c r="L13" i="6"/>
  <c r="M13" i="6"/>
  <c r="L14" i="6"/>
  <c r="M14" i="6"/>
  <c r="L15" i="6"/>
  <c r="M15" i="6"/>
  <c r="M11" i="6"/>
  <c r="L11" i="6"/>
  <c r="K15" i="6"/>
  <c r="K14" i="6"/>
  <c r="K13" i="6"/>
  <c r="K12" i="6"/>
  <c r="K11" i="6"/>
  <c r="J15" i="6"/>
  <c r="J14" i="6"/>
  <c r="J13" i="6"/>
  <c r="J12" i="6"/>
  <c r="J11" i="6"/>
  <c r="P4" i="6"/>
  <c r="O4" i="6"/>
  <c r="N4" i="6"/>
  <c r="M4" i="6"/>
  <c r="L4" i="6"/>
  <c r="K4" i="6"/>
  <c r="J4" i="6"/>
</calcChain>
</file>

<file path=xl/sharedStrings.xml><?xml version="1.0" encoding="utf-8"?>
<sst xmlns="http://schemas.openxmlformats.org/spreadsheetml/2006/main" count="1281" uniqueCount="536">
  <si>
    <t>User</t>
  </si>
  <si>
    <t>Division</t>
  </si>
  <si>
    <t>Interviews</t>
  </si>
  <si>
    <t>Recruiter</t>
  </si>
  <si>
    <t>Kunal Sharma</t>
  </si>
  <si>
    <t>Month</t>
  </si>
  <si>
    <t>Starts</t>
  </si>
  <si>
    <t>Branch</t>
  </si>
  <si>
    <t>Manager</t>
  </si>
  <si>
    <t>Ext Submittal</t>
  </si>
  <si>
    <t>Int Rejects</t>
  </si>
  <si>
    <t>Pend Ext Submittals</t>
  </si>
  <si>
    <t>Int Submittals</t>
  </si>
  <si>
    <t>Count of User</t>
  </si>
  <si>
    <t>Productivity</t>
  </si>
  <si>
    <t>SPR</t>
  </si>
  <si>
    <t>Conv</t>
  </si>
  <si>
    <t>Average of Productivity</t>
  </si>
  <si>
    <t>Average of SPR</t>
  </si>
  <si>
    <t xml:space="preserve">Conv Rate </t>
  </si>
  <si>
    <t>Row Labels</t>
  </si>
  <si>
    <t># Interviews</t>
  </si>
  <si>
    <t>#  Ext Submittal</t>
  </si>
  <si>
    <t># Int Submittals</t>
  </si>
  <si>
    <t xml:space="preserve"> # Starts</t>
  </si>
  <si>
    <t xml:space="preserve"> SPR (Monthly)</t>
  </si>
  <si>
    <t xml:space="preserve"> Productivity (Weekly)</t>
  </si>
  <si>
    <t>Recruiters</t>
  </si>
  <si>
    <t>Conv Rate</t>
  </si>
  <si>
    <t>Sum of  Conv Rate</t>
  </si>
  <si>
    <t>Producvitity</t>
  </si>
  <si>
    <t>Int Sub</t>
  </si>
  <si>
    <t>Ext Sub</t>
  </si>
  <si>
    <t xml:space="preserve">Interviews </t>
  </si>
  <si>
    <t xml:space="preserve">Starts </t>
  </si>
  <si>
    <t xml:space="preserve">Productivity </t>
  </si>
  <si>
    <t xml:space="preserve">SPR </t>
  </si>
  <si>
    <t>Values</t>
  </si>
  <si>
    <t>Total</t>
  </si>
  <si>
    <t>Ave of Productivity</t>
  </si>
  <si>
    <t>Ave of SPR</t>
  </si>
  <si>
    <t>Jyoti Chauhan</t>
  </si>
  <si>
    <t>Abhishek Patel</t>
  </si>
  <si>
    <t>Ankita Singh</t>
  </si>
  <si>
    <t>Shweta Tyagi</t>
  </si>
  <si>
    <t>Vishal Sharma</t>
  </si>
  <si>
    <t>Abhinav Yadav</t>
  </si>
  <si>
    <t>Yogesh Pratap Singh</t>
  </si>
  <si>
    <t>Vivek Sharma</t>
  </si>
  <si>
    <t>Varun Yadav</t>
  </si>
  <si>
    <t>Chandan Burnwal</t>
  </si>
  <si>
    <t>Nirbhey Singh</t>
  </si>
  <si>
    <t>Shashi Gautam</t>
  </si>
  <si>
    <t>Sanchit Nimje</t>
  </si>
  <si>
    <t>Ankit Singh Chauhan</t>
  </si>
  <si>
    <t>Dheeraj Kumar Shukla</t>
  </si>
  <si>
    <t>Gursahib Singh</t>
  </si>
  <si>
    <t>Hemanshu Chauhan</t>
  </si>
  <si>
    <t>Mohammad Javed Hussain</t>
  </si>
  <si>
    <t>Shyam Ram</t>
  </si>
  <si>
    <t>Nidhi Singh</t>
  </si>
  <si>
    <t>Prabhat Kumar Singh</t>
  </si>
  <si>
    <t>Vibhav Kumar</t>
  </si>
  <si>
    <t>Deepak Pandey</t>
  </si>
  <si>
    <t>Manya Aasthana</t>
  </si>
  <si>
    <t>Harsh Vijay Singh Rathor</t>
  </si>
  <si>
    <t>Nishant Tyagi</t>
  </si>
  <si>
    <t>Sandesh Mounesh Achari</t>
  </si>
  <si>
    <t>Shubham Raturi</t>
  </si>
  <si>
    <t>Anurag Pratap Pal</t>
  </si>
  <si>
    <t>Heer Rajesh Mendiratta</t>
  </si>
  <si>
    <t>Tanu Verma</t>
  </si>
  <si>
    <t>Abdul Kareem</t>
  </si>
  <si>
    <t>Abhishek Kumar Tiwari</t>
  </si>
  <si>
    <t>Abhishek Singh3</t>
  </si>
  <si>
    <t>Faisal Iqbal</t>
  </si>
  <si>
    <t>Gurmeet Singh Walia</t>
  </si>
  <si>
    <t>Saurabh Sharma</t>
  </si>
  <si>
    <t>Lovely Yadav</t>
  </si>
  <si>
    <t>Wardha Khan</t>
  </si>
  <si>
    <t>Megha Pant</t>
  </si>
  <si>
    <t>Aman Raghuvanshi</t>
  </si>
  <si>
    <t>Aman Saxena</t>
  </si>
  <si>
    <t>Ashwinee Gaurav</t>
  </si>
  <si>
    <t>Mukul Mayank</t>
  </si>
  <si>
    <t>Prakash Kumar</t>
  </si>
  <si>
    <t>Shashi Kant</t>
  </si>
  <si>
    <t>Sonal Charudatta Pawar</t>
  </si>
  <si>
    <t>Azhar Husain</t>
  </si>
  <si>
    <t>Vivek Satyawali</t>
  </si>
  <si>
    <t>Bivek Prasad</t>
  </si>
  <si>
    <t>Harsh Soni</t>
  </si>
  <si>
    <t>Ashutosh Kumar Singh1</t>
  </si>
  <si>
    <t>Kashaf Khan</t>
  </si>
  <si>
    <t>Sachin Bhardwaj</t>
  </si>
  <si>
    <t>Priyanshu Singh</t>
  </si>
  <si>
    <t>Samyak Jain</t>
  </si>
  <si>
    <t>Chetan Pachauri</t>
  </si>
  <si>
    <t>Suraj Suman</t>
  </si>
  <si>
    <t>Prabhat Kumar</t>
  </si>
  <si>
    <t>Himanshu Shahi</t>
  </si>
  <si>
    <t>Shaelendra Yadav</t>
  </si>
  <si>
    <t>Sudeshna Joshi</t>
  </si>
  <si>
    <t>Varun Kumar</t>
  </si>
  <si>
    <t>Shantun Lavania</t>
  </si>
  <si>
    <t>Harshit Chopra</t>
  </si>
  <si>
    <t>Mahima Verma</t>
  </si>
  <si>
    <t>Nimisha Talwar</t>
  </si>
  <si>
    <t>Saaz Pathak</t>
  </si>
  <si>
    <t>Naina Sharma</t>
  </si>
  <si>
    <t>Suhaib Ahmad</t>
  </si>
  <si>
    <t>Deependra Shrivas</t>
  </si>
  <si>
    <t>Abhay Pandey</t>
  </si>
  <si>
    <t>Preksha Srivastava</t>
  </si>
  <si>
    <t>Anshika Singh</t>
  </si>
  <si>
    <t>Abhishek Rawat</t>
  </si>
  <si>
    <t>Manjeet Kumar</t>
  </si>
  <si>
    <t>Irfan Haque</t>
  </si>
  <si>
    <t>Ritu Datta</t>
  </si>
  <si>
    <t>Anamika Jain</t>
  </si>
  <si>
    <t>Sumit Kumar1</t>
  </si>
  <si>
    <t>Deepak Singh Jadon</t>
  </si>
  <si>
    <t>Abhinav Upadhyay</t>
  </si>
  <si>
    <t>Anu Dhiman</t>
  </si>
  <si>
    <t>Abdul Rehman Ali Khan</t>
  </si>
  <si>
    <t>Ashish Singh2</t>
  </si>
  <si>
    <t>Hidangmayum Bidyananda Sharma</t>
  </si>
  <si>
    <t>Nikesh Kumar Dubey</t>
  </si>
  <si>
    <t>Mohit Kumar1</t>
  </si>
  <si>
    <t>Amit Kumar1</t>
  </si>
  <si>
    <t>Chetan Goel</t>
  </si>
  <si>
    <t>Sonal Shukla</t>
  </si>
  <si>
    <t>Gurparab Singh</t>
  </si>
  <si>
    <t>Akshay Verma</t>
  </si>
  <si>
    <t>Darshan Sah</t>
  </si>
  <si>
    <t>Kundeti Rajasekhar</t>
  </si>
  <si>
    <t>Abhishek Thakur</t>
  </si>
  <si>
    <t>Himani Sharma</t>
  </si>
  <si>
    <t>Samarth Shukla</t>
  </si>
  <si>
    <t>Sharad Chauhan</t>
  </si>
  <si>
    <t>Bhawana Banai</t>
  </si>
  <si>
    <t>Mamta Rani</t>
  </si>
  <si>
    <t>Abhishek Budhraja</t>
  </si>
  <si>
    <t>Pawan Singh Rawat</t>
  </si>
  <si>
    <t>Vardaan Chaudhary</t>
  </si>
  <si>
    <t>Manish Chauhan</t>
  </si>
  <si>
    <t>Chirag Chauhan</t>
  </si>
  <si>
    <t>Reshma Siddiqui</t>
  </si>
  <si>
    <t>Suryansh Sharma</t>
  </si>
  <si>
    <t>Shrey Sharma</t>
  </si>
  <si>
    <t>Dushyant Kinra</t>
  </si>
  <si>
    <t>Vinay Kumar</t>
  </si>
  <si>
    <t>Vimal Shukla</t>
  </si>
  <si>
    <t>Anurag Masih</t>
  </si>
  <si>
    <t>Akshay Verma1</t>
  </si>
  <si>
    <t>Anuradha Chaudhary</t>
  </si>
  <si>
    <t>Arjun Singh</t>
  </si>
  <si>
    <t>Yasir Khan</t>
  </si>
  <si>
    <t>Yash Kumar Mittal</t>
  </si>
  <si>
    <t>Khushi Sharma</t>
  </si>
  <si>
    <t>Pari Agarwal</t>
  </si>
  <si>
    <t>Yatin Pandit</t>
  </si>
  <si>
    <t>Raju Patnana</t>
  </si>
  <si>
    <t>Sauran Kumar</t>
  </si>
  <si>
    <t>Rajat Sharma</t>
  </si>
  <si>
    <t>Nishtha Tongaria</t>
  </si>
  <si>
    <t>Aashna Salman</t>
  </si>
  <si>
    <t>Pragya Shahi</t>
  </si>
  <si>
    <t>Jai Tiwari</t>
  </si>
  <si>
    <t>Himanshu Kashyap</t>
  </si>
  <si>
    <t>Aquib Jawed</t>
  </si>
  <si>
    <t>Abhishek Deniyal</t>
  </si>
  <si>
    <t>Sana Khan</t>
  </si>
  <si>
    <t>Faraz Khan</t>
  </si>
  <si>
    <t>Shivangi Bhutani</t>
  </si>
  <si>
    <t>Vineet Dhull</t>
  </si>
  <si>
    <t>Shivam Mishra</t>
  </si>
  <si>
    <t>Pooja Rani Sidhwani</t>
  </si>
  <si>
    <t>Heena Khan</t>
  </si>
  <si>
    <t>Mamta Rawat</t>
  </si>
  <si>
    <t>Dilip Singh</t>
  </si>
  <si>
    <t>Gaurav Kumar Jha</t>
  </si>
  <si>
    <t>Shashank Kumar1</t>
  </si>
  <si>
    <t>Nayana Kamsena</t>
  </si>
  <si>
    <t>Avinash Kumar Yadav</t>
  </si>
  <si>
    <t>Mohit Sharma3</t>
  </si>
  <si>
    <t>Prakhar Singhal</t>
  </si>
  <si>
    <t>Amit Dua</t>
  </si>
  <si>
    <t>Bhawana Suyal</t>
  </si>
  <si>
    <t>Anurag Patel</t>
  </si>
  <si>
    <t>Dhan Kumar Shah</t>
  </si>
  <si>
    <t>Pankaj Kanwaria</t>
  </si>
  <si>
    <t>Aviral Gupta</t>
  </si>
  <si>
    <t>Mohd Hasan</t>
  </si>
  <si>
    <t>Esha Thapa</t>
  </si>
  <si>
    <t>Ankita Tariyal</t>
  </si>
  <si>
    <t>Kavitha Seenappa</t>
  </si>
  <si>
    <t>Vishal Rajput</t>
  </si>
  <si>
    <t>Manoj Rana</t>
  </si>
  <si>
    <t>Inder Jeet</t>
  </si>
  <si>
    <t>Akash Mishra</t>
  </si>
  <si>
    <t>Manoj Chauhan</t>
  </si>
  <si>
    <t>Hemant Kumar Sharma</t>
  </si>
  <si>
    <t>Alka Dagar</t>
  </si>
  <si>
    <t>Vishwas Batra</t>
  </si>
  <si>
    <t>Omesha Johari</t>
  </si>
  <si>
    <t>Imran Ali</t>
  </si>
  <si>
    <t>Rajeev Kumar2</t>
  </si>
  <si>
    <t>Nilesh Kholiya</t>
  </si>
  <si>
    <t>Subodh Kumar1</t>
  </si>
  <si>
    <t>Ejaz Aslam</t>
  </si>
  <si>
    <t>Md Modassir Ahsan</t>
  </si>
  <si>
    <t>Monideep Chakraborty</t>
  </si>
  <si>
    <t>Priyam Mukherjee</t>
  </si>
  <si>
    <t>Harsh Sharma</t>
  </si>
  <si>
    <t>Ibrar Ahmed</t>
  </si>
  <si>
    <t>Tuhin Mallick</t>
  </si>
  <si>
    <t>Vishal Kumar Rai</t>
  </si>
  <si>
    <t>Sk Tazeem Farogh Ahmed</t>
  </si>
  <si>
    <t>Simran Dua</t>
  </si>
  <si>
    <t>Sayali Yogesh Shinde</t>
  </si>
  <si>
    <t>Varsha Kumari</t>
  </si>
  <si>
    <t>Kajal Kumari</t>
  </si>
  <si>
    <t>Ayushi Sharma</t>
  </si>
  <si>
    <t>Ayushi Babu</t>
  </si>
  <si>
    <t>Oupmeet Kour</t>
  </si>
  <si>
    <t>Anushree Sharma</t>
  </si>
  <si>
    <t>Mani Sharma</t>
  </si>
  <si>
    <t>Rahul Datt Joshi</t>
  </si>
  <si>
    <t>Zaara Wasim</t>
  </si>
  <si>
    <t>Ankita Singh1</t>
  </si>
  <si>
    <t>Temjen J Lyngdoh</t>
  </si>
  <si>
    <t>Anup Sharma</t>
  </si>
  <si>
    <t>Astha Kashyap</t>
  </si>
  <si>
    <t>Ruchi Yadav</t>
  </si>
  <si>
    <t>Ankita Maurya</t>
  </si>
  <si>
    <t>Chandan Manral</t>
  </si>
  <si>
    <t>Abhivradhi Kakaria</t>
  </si>
  <si>
    <t>Debashish Pramanick</t>
  </si>
  <si>
    <t>Rishav Kumar Jain</t>
  </si>
  <si>
    <t>Payal Negi</t>
  </si>
  <si>
    <t>Kanak Singh</t>
  </si>
  <si>
    <t>Deepanshu Panchal</t>
  </si>
  <si>
    <t>Neeraj Dev</t>
  </si>
  <si>
    <t>Purnima Sah</t>
  </si>
  <si>
    <t>Mohd Azhar</t>
  </si>
  <si>
    <t>Shivani Kapoor</t>
  </si>
  <si>
    <t>Vikas Jangra</t>
  </si>
  <si>
    <t>Akshayvar Singh</t>
  </si>
  <si>
    <t>Nitin Sharma</t>
  </si>
  <si>
    <t>Pulkit Vasdev</t>
  </si>
  <si>
    <t>Vinay Pratap Singh</t>
  </si>
  <si>
    <t>Vipin Singh</t>
  </si>
  <si>
    <t>Abhilekh Shukla</t>
  </si>
  <si>
    <t>Afifa Rehman</t>
  </si>
  <si>
    <t>Ashwin Sharma</t>
  </si>
  <si>
    <t>Akshara Parveen</t>
  </si>
  <si>
    <t>Apoorva Verma</t>
  </si>
  <si>
    <t>Darshna Somani</t>
  </si>
  <si>
    <t>Akhil Pandey</t>
  </si>
  <si>
    <t>Dilip Kumar Singh Pal</t>
  </si>
  <si>
    <t>Shubham Aggarwal</t>
  </si>
  <si>
    <t>Gunjan Singh</t>
  </si>
  <si>
    <t>Soumya Patra</t>
  </si>
  <si>
    <t>Pradeep Kumar Sharma</t>
  </si>
  <si>
    <t>Muskan Singh1</t>
  </si>
  <si>
    <t>Ayushi Kaushik</t>
  </si>
  <si>
    <t>Krishna Kumar Upadhyay</t>
  </si>
  <si>
    <t>Naman Gupta</t>
  </si>
  <si>
    <t>Pooja Kumari</t>
  </si>
  <si>
    <t>Priyanshi Garg</t>
  </si>
  <si>
    <t>Shubham Agarwal</t>
  </si>
  <si>
    <t>Nitish Kumar</t>
  </si>
  <si>
    <t>Karishma Bhadauriya</t>
  </si>
  <si>
    <t>Ashok Singh Chauhan</t>
  </si>
  <si>
    <t>Saurabh Maheshwari</t>
  </si>
  <si>
    <t>Isha Vashisth</t>
  </si>
  <si>
    <t>Praveen Dixit</t>
  </si>
  <si>
    <t>Kavish Saxena</t>
  </si>
  <si>
    <t>Mahadev Singh Bisht</t>
  </si>
  <si>
    <t>Chandan Kumar1</t>
  </si>
  <si>
    <t>Aman Shekhar Sachan</t>
  </si>
  <si>
    <t>Krishna Singh1</t>
  </si>
  <si>
    <t>Ankur Kumar1</t>
  </si>
  <si>
    <t>Aamir Khan</t>
  </si>
  <si>
    <t>Prashant Singh</t>
  </si>
  <si>
    <t>Aayush Bhardwaj</t>
  </si>
  <si>
    <t>Kumar Nandan</t>
  </si>
  <si>
    <t>Lovleen Jaswal</t>
  </si>
  <si>
    <t>Saurabh Kaul</t>
  </si>
  <si>
    <t>Arun Mohan</t>
  </si>
  <si>
    <t>Ankit Jangra</t>
  </si>
  <si>
    <t>Dibya Singh</t>
  </si>
  <si>
    <t>Mohd Abid Rafie</t>
  </si>
  <si>
    <t>Pawan Kumar Sahu</t>
  </si>
  <si>
    <t>Abhishek Singh2</t>
  </si>
  <si>
    <t>Mohit Rajput</t>
  </si>
  <si>
    <t>Nishant Sharma</t>
  </si>
  <si>
    <t>Manisha Srivastava</t>
  </si>
  <si>
    <t>Pankaj Verma</t>
  </si>
  <si>
    <t>Sidharth Kumar</t>
  </si>
  <si>
    <t>Chalsee Siwatch</t>
  </si>
  <si>
    <t>Simran Wadhwa</t>
  </si>
  <si>
    <t>Bharath Shaj</t>
  </si>
  <si>
    <t>Adarsh Bila</t>
  </si>
  <si>
    <t>Kushagra Bhatnagar</t>
  </si>
  <si>
    <t>Deepika Tiwari</t>
  </si>
  <si>
    <t>Himanshu Pateriya</t>
  </si>
  <si>
    <t>Jay Guru</t>
  </si>
  <si>
    <t>Pooja Gupta</t>
  </si>
  <si>
    <t>Arjun Dubey</t>
  </si>
  <si>
    <t>Danish Ahmed</t>
  </si>
  <si>
    <t>Boppana Pratyusha</t>
  </si>
  <si>
    <t>Muskan Wadhva</t>
  </si>
  <si>
    <t>Priya Gupta</t>
  </si>
  <si>
    <t>Pragya Upadhyay</t>
  </si>
  <si>
    <t>Baljeet Singh Bedi</t>
  </si>
  <si>
    <t>Kunal Kumar</t>
  </si>
  <si>
    <t>Avanish Kumar Pandey</t>
  </si>
  <si>
    <t>Raj Singh</t>
  </si>
  <si>
    <t>Rahul Kumar</t>
  </si>
  <si>
    <t>Kajal Singh</t>
  </si>
  <si>
    <t>Kumar Harekrishan</t>
  </si>
  <si>
    <t>Poonam Kumari</t>
  </si>
  <si>
    <t>Saindhav Kumar</t>
  </si>
  <si>
    <t>Sachin Kumar Singh</t>
  </si>
  <si>
    <t>Manish Kumar Choubey</t>
  </si>
  <si>
    <t>Abhishek Mishra</t>
  </si>
  <si>
    <t>Jatin Raj</t>
  </si>
  <si>
    <t>Ashish Yadav</t>
  </si>
  <si>
    <t>Bhavya Sharma</t>
  </si>
  <si>
    <t>Ibran Ahmad</t>
  </si>
  <si>
    <t>Priya Pujara</t>
  </si>
  <si>
    <t>Deepak Jain</t>
  </si>
  <si>
    <t>Pushplata Mishra</t>
  </si>
  <si>
    <t>Jyoti Negi</t>
  </si>
  <si>
    <t>Belief Varghese</t>
  </si>
  <si>
    <t>Akshay Chauhan</t>
  </si>
  <si>
    <t>Ayush Garg</t>
  </si>
  <si>
    <t>Pradeep Maurya</t>
  </si>
  <si>
    <t>Akhil Mathur</t>
  </si>
  <si>
    <t>Anushka Tiwari</t>
  </si>
  <si>
    <t>Harshit Kumar Niranjan</t>
  </si>
  <si>
    <t>Kushagra Rautela</t>
  </si>
  <si>
    <t>Deepak Badhwar</t>
  </si>
  <si>
    <t>Geetanjali Kohli</t>
  </si>
  <si>
    <t>Himayan Dey</t>
  </si>
  <si>
    <t>Kalpana Tiwari</t>
  </si>
  <si>
    <t>Rajashree Swain</t>
  </si>
  <si>
    <t>Shalini Kumari Pathak</t>
  </si>
  <si>
    <t>Rashmi Pal</t>
  </si>
  <si>
    <t>Ankita Sonkar</t>
  </si>
  <si>
    <t>Ritesh Sharma</t>
  </si>
  <si>
    <t>Shesh Nath Pandey</t>
  </si>
  <si>
    <t>Abhishek Mishra1</t>
  </si>
  <si>
    <t>Swaullppashree Rout</t>
  </si>
  <si>
    <t>Danish Husain</t>
  </si>
  <si>
    <t>Sharique Ali</t>
  </si>
  <si>
    <t>Kaamini Singh</t>
  </si>
  <si>
    <t>Payal Singh1</t>
  </si>
  <si>
    <t>Shweta Shrivastav</t>
  </si>
  <si>
    <t>Aditya Chauhan</t>
  </si>
  <si>
    <t>Paras Nijahwan</t>
  </si>
  <si>
    <t>Mrityunjay Mishra</t>
  </si>
  <si>
    <t>Aarti Negi</t>
  </si>
  <si>
    <t>Mohd Mahtab Alam</t>
  </si>
  <si>
    <t>Rahul Bhasin</t>
  </si>
  <si>
    <t>Rajat Kumar1</t>
  </si>
  <si>
    <t>Saksham Sharma</t>
  </si>
  <si>
    <t>Sourav Gautam</t>
  </si>
  <si>
    <t>Sanjeev Bisht</t>
  </si>
  <si>
    <t>Bharat Lohmore</t>
  </si>
  <si>
    <t>Krishan Kumar Swami</t>
  </si>
  <si>
    <t>Pooja Jalan</t>
  </si>
  <si>
    <t>Sahil Attri</t>
  </si>
  <si>
    <t>Vimal Sharma</t>
  </si>
  <si>
    <t>Yash Sharma</t>
  </si>
  <si>
    <t>Bhupendra Negi</t>
  </si>
  <si>
    <t>Bikramjeet Singh</t>
  </si>
  <si>
    <t>Ravindra Singh</t>
  </si>
  <si>
    <t>Anuj Kumar</t>
  </si>
  <si>
    <t>Richard Joseph</t>
  </si>
  <si>
    <t>Neha Sharma2</t>
  </si>
  <si>
    <t>Vikas Verma1</t>
  </si>
  <si>
    <t>Abhishek Verma</t>
  </si>
  <si>
    <t>Azmat Ali</t>
  </si>
  <si>
    <t>Bhupendra Kumar</t>
  </si>
  <si>
    <t>Arvind Kumar Singh</t>
  </si>
  <si>
    <t>Himanshu Kumar1</t>
  </si>
  <si>
    <t>Amit Mishra</t>
  </si>
  <si>
    <t>Sunil Rajpoot</t>
  </si>
  <si>
    <t>Vaibhav Mishra</t>
  </si>
  <si>
    <t>Amit Kumar Singh</t>
  </si>
  <si>
    <t>Syeda Saba Arshi</t>
  </si>
  <si>
    <t>Kiran Upadhyay</t>
  </si>
  <si>
    <t>Divyanka Soni</t>
  </si>
  <si>
    <t>Shreyansh Singh</t>
  </si>
  <si>
    <t>Aash Mohammad</t>
  </si>
  <si>
    <t>Manish Singh1</t>
  </si>
  <si>
    <t>Vaishnavi Mishra</t>
  </si>
  <si>
    <t>Abhinav Agarwal</t>
  </si>
  <si>
    <t>Manish Kumar Kulashri</t>
  </si>
  <si>
    <t>Kripal Singh1 Kushwaha</t>
  </si>
  <si>
    <t>Abhishek Kaushik</t>
  </si>
  <si>
    <t>Dushyant Kumar</t>
  </si>
  <si>
    <t>Raghvendra Pratap Singh Rautela</t>
  </si>
  <si>
    <t>Mohd Aqib</t>
  </si>
  <si>
    <t>Abhijeet Kumar Das</t>
  </si>
  <si>
    <t>Anant Tripathi</t>
  </si>
  <si>
    <t>AS-Direct Clients</t>
  </si>
  <si>
    <t>AS-Gautam Kumar</t>
  </si>
  <si>
    <t>AS-Himanshu Dayal</t>
  </si>
  <si>
    <t>AS-Pranjal Khattri</t>
  </si>
  <si>
    <t>AS-Mayank Aggarwal</t>
  </si>
  <si>
    <t>AS-Prateek Kapoor</t>
  </si>
  <si>
    <t>AS-Tanmay Dasgupta</t>
  </si>
  <si>
    <t>Gaurav Seth</t>
  </si>
  <si>
    <t>Harsh Goel</t>
  </si>
  <si>
    <t>Manish Patel</t>
  </si>
  <si>
    <t>Roohi Jain</t>
  </si>
  <si>
    <t>Sahil Ahuja</t>
  </si>
  <si>
    <t>Samarjeet Thukral</t>
  </si>
  <si>
    <t>Shruti Singh</t>
  </si>
  <si>
    <t>Sunil Dhar</t>
  </si>
  <si>
    <t>AD-Chandan Burnwal</t>
  </si>
  <si>
    <t>AT-Anuj Agrawal</t>
  </si>
  <si>
    <t>AT-Prabhat Kumar</t>
  </si>
  <si>
    <t>AT-Pragati Malhotra</t>
  </si>
  <si>
    <t>AS-DC-Harsh Rathore</t>
  </si>
  <si>
    <t>AS-DC-Muneeb Rehman</t>
  </si>
  <si>
    <t>AS-HD-Arvind Bhatt</t>
  </si>
  <si>
    <t>AS-HD-Dishank Jain</t>
  </si>
  <si>
    <t>AS-HD-DJ-Ankesh Kumar</t>
  </si>
  <si>
    <t>AS-HD-DJ-Shaelendra Yadav</t>
  </si>
  <si>
    <t>AS-HD-Lakshya Bhardwaj</t>
  </si>
  <si>
    <t>AS-HD-Sahil Bedi</t>
  </si>
  <si>
    <t>AS-HD-SK-Kajol Srivastava</t>
  </si>
  <si>
    <t>AS-HD-SK-Paromita Biswas</t>
  </si>
  <si>
    <t>AS-PKH-DD-Prashant Mishra</t>
  </si>
  <si>
    <t>AS-MA- Anamika Jain</t>
  </si>
  <si>
    <t>AS-MA- Deepak Jadon</t>
  </si>
  <si>
    <t>AS-MA- Mayank Aggarwal</t>
  </si>
  <si>
    <t>AS-MA-Ashish Singh</t>
  </si>
  <si>
    <t>AS-MA-Chetan Goel</t>
  </si>
  <si>
    <t>AS-MA-Darshan Sah</t>
  </si>
  <si>
    <t>AS-MA-Himani Sharma</t>
  </si>
  <si>
    <t>AS-MA-Mamta Rani</t>
  </si>
  <si>
    <t>AS-MA-Manish Chauhan</t>
  </si>
  <si>
    <t>AS-MA-Reshma Siddiqui</t>
  </si>
  <si>
    <t>AS-MA-Shrey Sharma</t>
  </si>
  <si>
    <t>AS-MA-Vimal Shukla</t>
  </si>
  <si>
    <t>AS-MA-Yash Mittal</t>
  </si>
  <si>
    <t>AS-MA-Yatin Pandit</t>
  </si>
  <si>
    <t>AS-PKH-DD-Altimetrik</t>
  </si>
  <si>
    <t>AS-PKH-DD-Ravi Rajput</t>
  </si>
  <si>
    <t>AS-PKH-DD-VD-Faraz Khan</t>
  </si>
  <si>
    <t>AS-PKH-DD-VD-Sonali Thakur</t>
  </si>
  <si>
    <t>AS-PKH-Harish Kumar</t>
  </si>
  <si>
    <t>AS-PKH-SR-Dilip Singh</t>
  </si>
  <si>
    <t>AS-PKH-Sumit Srivastava</t>
  </si>
  <si>
    <t>AS-PKH-Suryansh Rajput</t>
  </si>
  <si>
    <t>AS-PK- Dhan Kumar Shah</t>
  </si>
  <si>
    <t>AS-PK-AKS-Aviral Gupta</t>
  </si>
  <si>
    <t>AS-PK-AKS-Mohit Vijan</t>
  </si>
  <si>
    <t>AS-PK-AKS-Nitesh Sharma</t>
  </si>
  <si>
    <t>AS-PK-Manroop Biswas</t>
  </si>
  <si>
    <t>AS-PK-MB-Chiranjeev Lenka</t>
  </si>
  <si>
    <t>AS-PK-MB-Manoj Chauhan</t>
  </si>
  <si>
    <t>AS-PK-SK-Alka Dagar</t>
  </si>
  <si>
    <t>AS-PK-Subodh Kumar</t>
  </si>
  <si>
    <t>AS -TD-Priyam Mukherjee</t>
  </si>
  <si>
    <t>AS-TD-Ibrar Ahmed</t>
  </si>
  <si>
    <t>GS-NS-Ankit Verma</t>
  </si>
  <si>
    <t>GS-NS-AS-Kajal Kumari</t>
  </si>
  <si>
    <t>GS-NS-AS-Oupmeet Kour</t>
  </si>
  <si>
    <t>GS-NS-AV1-Anushree Sharma</t>
  </si>
  <si>
    <t>GS-NS-AV1-Rahul Joshi</t>
  </si>
  <si>
    <t>GS-NS-AV1-Temjen Lyngdoh</t>
  </si>
  <si>
    <t>GS-RK-Deepanshu Panchal</t>
  </si>
  <si>
    <t>GS-RK-Astha Kashyap</t>
  </si>
  <si>
    <t>GS-RK-Chandan Manral</t>
  </si>
  <si>
    <t>GS-RK-Debashish Pramanick</t>
  </si>
  <si>
    <t>HG-KS-Vikas Jangra</t>
  </si>
  <si>
    <t>HG-KS-Vinay Pratap Singh</t>
  </si>
  <si>
    <t>HG-Vibhu Bhaskar</t>
  </si>
  <si>
    <t>HG-Vinit Kumar Roy</t>
  </si>
  <si>
    <t>MP-Amit Shroti</t>
  </si>
  <si>
    <t>MP-Ashok Singh Chauhan</t>
  </si>
  <si>
    <t>MP-Manish</t>
  </si>
  <si>
    <t>MP-Mohit Saini</t>
  </si>
  <si>
    <t>MP-SM-Mahadev Bisht</t>
  </si>
  <si>
    <t>MP-SM-Prashant Singh</t>
  </si>
  <si>
    <t>RJ-MP-Aayush Bhardwaj</t>
  </si>
  <si>
    <t>RJ-SS-Abhishek Singh2</t>
  </si>
  <si>
    <t>RJ-SS-Pankaj Verma</t>
  </si>
  <si>
    <t>RJ-TM-HG-Ankita Singh</t>
  </si>
  <si>
    <t>SA-DK-Kushagra Bhatnagar</t>
  </si>
  <si>
    <t>SA-DK-Pratyusha Boppana</t>
  </si>
  <si>
    <t>SA-TM-CK-BB-Suraj Gupta</t>
  </si>
  <si>
    <t>SA-TM-CK-NK-Harekrishan</t>
  </si>
  <si>
    <t>SA-TM-CK-Suraj Gupta</t>
  </si>
  <si>
    <t>SA-TM-CK-Vishal Sharma</t>
  </si>
  <si>
    <t>SA-TM-VK-Ashish Yadav</t>
  </si>
  <si>
    <t>SA-TM-VK-Priya Pujara</t>
  </si>
  <si>
    <t>SA-TM-VK-Pushplata Mishra</t>
  </si>
  <si>
    <t>SA-Tushar Varma</t>
  </si>
  <si>
    <t>ST-KP-Anushka Tiwari</t>
  </si>
  <si>
    <t>ST-KP-Himayan Dey</t>
  </si>
  <si>
    <t>ST-NS1-DH-Ritesh Sharma</t>
  </si>
  <si>
    <t>ST-NS1-RS-Sharique Ali</t>
  </si>
  <si>
    <t xml:space="preserve">ST-PV-Paras Nijahwan </t>
  </si>
  <si>
    <t>ST-PV-Rajat Kumar1</t>
  </si>
  <si>
    <t>ST-RM-Yash Sharma</t>
  </si>
  <si>
    <t>SS-AA-Aayush Agarwal</t>
  </si>
  <si>
    <t>SS-AA-Vikas Verma</t>
  </si>
  <si>
    <t>SS-SK-Bhupendra Kumar</t>
  </si>
  <si>
    <t>SS-SK-Himanshu Kumar</t>
  </si>
  <si>
    <t>SS-SK-Sunil Rajpoot</t>
  </si>
  <si>
    <t>SS-SM-Amit Singh</t>
  </si>
  <si>
    <t>SS-SM-Manish Singh</t>
  </si>
  <si>
    <t>SD-JK-Parul Tyagi</t>
  </si>
  <si>
    <t>AA</t>
  </si>
  <si>
    <t>Notes</t>
  </si>
  <si>
    <t>Sum of Notes</t>
  </si>
  <si>
    <t xml:space="preserve"> Notes</t>
  </si>
  <si>
    <t>Total User</t>
  </si>
  <si>
    <t>Hours</t>
  </si>
  <si>
    <t>Average of Hours</t>
  </si>
  <si>
    <t>June'23</t>
  </si>
  <si>
    <t>Jul'23</t>
  </si>
  <si>
    <t>Aug'23</t>
  </si>
  <si>
    <t>Grand Total</t>
  </si>
  <si>
    <t>Column Labels</t>
  </si>
  <si>
    <t xml:space="preserve"> June'23</t>
  </si>
  <si>
    <t xml:space="preserve"> Jul'23</t>
  </si>
  <si>
    <t xml:space="preserve"> Aug'23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</si>
</sst>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h]:mm:ss;@"/>
  </numFmts>
  <fonts count="8" x14ac:knownFonts="1">
    <font>
      <sz val="11"/>
      <color theme="1"/>
      <name val="Calibri"/>
      <family val="2"/>
      <scheme val="minor"/>
    </font>
    <font>
      <b/>
      <sz val="11"/>
      <color theme="1"/>
      <name val="Calibri"/>
      <family val="2"/>
      <scheme val="minor"/>
    </font>
    <font>
      <b/>
      <sz val="12"/>
      <color theme="0"/>
      <name val="Calibri"/>
      <family val="2"/>
      <scheme val="minor"/>
    </font>
    <font>
      <sz val="11"/>
      <color theme="1"/>
      <name val="Calibri"/>
      <family val="2"/>
      <scheme val="minor"/>
    </font>
    <font>
      <sz val="11"/>
      <color rgb="FF002060"/>
      <name val="Calibri"/>
      <scheme val="minor"/>
    </font>
    <font>
      <sz val="11"/>
      <color theme="0"/>
      <name val="Calibri"/>
      <scheme val="minor"/>
    </font>
    <font>
      <b/>
      <sz val="11"/>
      <color rgb="FF002060"/>
      <name val="Calibri"/>
      <scheme val="minor"/>
    </font>
    <font>
      <b/>
      <sz val="11"/>
      <color theme="0"/>
      <name val="Calibri"/>
      <scheme val="minor"/>
    </font>
  </fonts>
  <fills count="7">
    <fill>
      <patternFill patternType="none"/>
    </fill>
    <fill>
      <patternFill patternType="gray125"/>
    </fill>
    <fill>
      <patternFill patternType="solid">
        <fgColor theme="5" tint="0.39997558519241921"/>
        <bgColor indexed="64"/>
      </patternFill>
    </fill>
    <fill>
      <gradientFill degree="90">
        <stop position="0">
          <color rgb="FF0070C0"/>
        </stop>
        <stop position="1">
          <color rgb="FF00B0F0"/>
        </stop>
      </gradientFill>
    </fill>
    <fill>
      <patternFill patternType="solid">
        <fgColor rgb="FFFFFFCC"/>
      </patternFill>
    </fill>
    <fill>
      <patternFill patternType="solid">
        <fgColor theme="0"/>
        <bgColor indexed="64"/>
      </patternFill>
    </fill>
    <fill>
      <patternFill patternType="solid">
        <fgColor theme="1"/>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thin">
        <color rgb="FFB2B2B2"/>
      </left>
      <right style="thin">
        <color rgb="FFB2B2B2"/>
      </right>
      <top style="thin">
        <color rgb="FFB2B2B2"/>
      </top>
      <bottom style="thin">
        <color rgb="FFB2B2B2"/>
      </bottom>
      <diagonal/>
    </border>
  </borders>
  <cellStyleXfs count="2">
    <xf numFmtId="0" fontId="0" fillId="0" borderId="0"/>
    <xf numFmtId="0" fontId="3" fillId="4" borderId="3" applyNumberFormat="0" applyFont="0" applyAlignment="0" applyProtection="0"/>
  </cellStyleXfs>
  <cellXfs count="66">
    <xf numFmtId="0" fontId="0" fillId="0" borderId="0" xfId="0"/>
    <xf numFmtId="0" fontId="1" fillId="0" borderId="0" xfId="0" applyFont="1"/>
    <xf numFmtId="0" fontId="0" fillId="0" borderId="1" xfId="0" applyBorder="1"/>
    <xf numFmtId="15" fontId="0" fillId="0" borderId="1" xfId="0" applyNumberFormat="1" applyBorder="1"/>
    <xf numFmtId="0" fontId="1" fillId="2" borderId="1" xfId="0" applyFont="1" applyFill="1" applyBorder="1"/>
    <xf numFmtId="15" fontId="1" fillId="2" borderId="1" xfId="0" applyNumberFormat="1" applyFont="1" applyFill="1" applyBorder="1"/>
    <xf numFmtId="0" fontId="0" fillId="0" borderId="0" xfId="0" applyNumberFormat="1"/>
    <xf numFmtId="2" fontId="0" fillId="0" borderId="0" xfId="0" applyNumberFormat="1"/>
    <xf numFmtId="1" fontId="0" fillId="0" borderId="0" xfId="0" applyNumberFormat="1"/>
    <xf numFmtId="0" fontId="0" fillId="0" borderId="0" xfId="0" pivotButton="1"/>
    <xf numFmtId="0" fontId="0" fillId="0" borderId="0" xfId="0" applyAlignment="1">
      <alignment horizontal="left"/>
    </xf>
    <xf numFmtId="0" fontId="0" fillId="0" borderId="2" xfId="0" applyBorder="1"/>
    <xf numFmtId="0" fontId="0" fillId="0" borderId="0" xfId="0" applyBorder="1"/>
    <xf numFmtId="0" fontId="2" fillId="3" borderId="2" xfId="0" applyFont="1" applyFill="1" applyBorder="1" applyAlignment="1">
      <alignment horizontal="center"/>
    </xf>
    <xf numFmtId="2" fontId="2" fillId="3" borderId="2" xfId="0" applyNumberFormat="1" applyFont="1" applyFill="1" applyBorder="1" applyAlignment="1">
      <alignment horizontal="center"/>
    </xf>
    <xf numFmtId="1" fontId="2" fillId="3" borderId="2" xfId="0" applyNumberFormat="1" applyFont="1" applyFill="1" applyBorder="1" applyAlignment="1">
      <alignment horizontal="center"/>
    </xf>
    <xf numFmtId="164" fontId="0" fillId="0" borderId="2" xfId="0" applyNumberFormat="1" applyBorder="1"/>
    <xf numFmtId="0" fontId="0" fillId="0" borderId="0" xfId="0" applyFill="1"/>
    <xf numFmtId="1" fontId="0" fillId="0" borderId="2" xfId="0" applyNumberFormat="1" applyBorder="1"/>
    <xf numFmtId="0" fontId="0" fillId="5" borderId="0" xfId="0" applyFill="1"/>
    <xf numFmtId="2" fontId="0" fillId="5" borderId="0" xfId="0" applyNumberFormat="1" applyFill="1"/>
    <xf numFmtId="15" fontId="0" fillId="0" borderId="0" xfId="0" applyNumberFormat="1" applyFill="1" applyBorder="1"/>
    <xf numFmtId="0" fontId="0" fillId="0" borderId="0" xfId="0" applyFill="1" applyBorder="1"/>
    <xf numFmtId="2" fontId="0" fillId="0" borderId="0" xfId="0" applyNumberFormat="1" applyFill="1"/>
    <xf numFmtId="0" fontId="4" fillId="0" borderId="0" xfId="0" applyFont="1" applyFill="1" applyBorder="1"/>
    <xf numFmtId="1" fontId="4" fillId="0" borderId="0" xfId="0" applyNumberFormat="1" applyFont="1" applyFill="1" applyBorder="1" applyAlignment="1">
      <alignment horizontal="center"/>
    </xf>
    <xf numFmtId="0" fontId="1" fillId="4" borderId="3" xfId="1" applyFont="1"/>
    <xf numFmtId="2" fontId="1" fillId="4" borderId="3" xfId="1" applyNumberFormat="1" applyFont="1"/>
    <xf numFmtId="1" fontId="1" fillId="4" borderId="3" xfId="1" applyNumberFormat="1" applyFont="1"/>
    <xf numFmtId="0" fontId="1" fillId="0" borderId="0" xfId="0" applyFont="1" applyBorder="1"/>
    <xf numFmtId="0" fontId="1" fillId="2" borderId="1" xfId="0" applyFont="1" applyFill="1" applyBorder="1" applyAlignment="1"/>
    <xf numFmtId="0" fontId="0" fillId="0" borderId="0" xfId="0" applyFill="1" applyBorder="1" applyAlignment="1"/>
    <xf numFmtId="15" fontId="0" fillId="0" borderId="1" xfId="0" applyNumberFormat="1" applyFill="1" applyBorder="1"/>
    <xf numFmtId="0" fontId="1" fillId="2" borderId="1" xfId="0" applyFont="1" applyFill="1" applyBorder="1" applyAlignment="1">
      <alignment horizontal="center" vertical="center"/>
    </xf>
    <xf numFmtId="2" fontId="1" fillId="2" borderId="1" xfId="0" applyNumberFormat="1" applyFont="1" applyFill="1" applyBorder="1" applyAlignment="1">
      <alignment horizontal="center" vertical="center"/>
    </xf>
    <xf numFmtId="164" fontId="1" fillId="2" borderId="1" xfId="0" applyNumberFormat="1" applyFont="1" applyFill="1" applyBorder="1" applyAlignment="1">
      <alignment horizontal="center" vertical="center"/>
    </xf>
    <xf numFmtId="0" fontId="0" fillId="0" borderId="1" xfId="0" applyBorder="1" applyAlignment="1">
      <alignment horizontal="center" vertical="center"/>
    </xf>
    <xf numFmtId="2" fontId="0" fillId="0" borderId="1" xfId="0" applyNumberFormat="1" applyBorder="1" applyAlignment="1">
      <alignment horizontal="center" vertical="center"/>
    </xf>
    <xf numFmtId="164" fontId="0" fillId="0" borderId="1" xfId="0" applyNumberFormat="1" applyBorder="1" applyAlignment="1">
      <alignment horizontal="center" vertical="center"/>
    </xf>
    <xf numFmtId="0" fontId="0" fillId="0" borderId="0" xfId="0" applyFill="1" applyBorder="1" applyAlignment="1">
      <alignment horizontal="center" vertical="center"/>
    </xf>
    <xf numFmtId="2" fontId="0" fillId="0" borderId="0" xfId="0" applyNumberFormat="1" applyFill="1" applyBorder="1" applyAlignment="1">
      <alignment horizontal="center" vertical="center"/>
    </xf>
    <xf numFmtId="164" fontId="0" fillId="0" borderId="0" xfId="0" applyNumberFormat="1" applyFill="1" applyBorder="1" applyAlignment="1">
      <alignment horizontal="center" vertical="center"/>
    </xf>
    <xf numFmtId="0" fontId="0" fillId="6" borderId="0" xfId="0" applyFill="1"/>
    <xf numFmtId="165" fontId="1" fillId="4" borderId="3" xfId="1" applyNumberFormat="1" applyFont="1"/>
    <xf numFmtId="165" fontId="0" fillId="0" borderId="1" xfId="0" applyNumberFormat="1" applyBorder="1"/>
    <xf numFmtId="0" fontId="0" fillId="0" borderId="1" xfId="0" applyFill="1" applyBorder="1"/>
    <xf numFmtId="0" fontId="0" fillId="0" borderId="1" xfId="0" applyFill="1" applyBorder="1" applyAlignment="1"/>
    <xf numFmtId="0" fontId="0" fillId="0" borderId="1" xfId="0" applyFill="1" applyBorder="1" applyAlignment="1">
      <alignment horizontal="center" vertical="center"/>
    </xf>
    <xf numFmtId="0" fontId="4" fillId="4" borderId="3" xfId="0" applyFont="1" applyFill="1" applyBorder="1"/>
    <xf numFmtId="0" fontId="4" fillId="4" borderId="3" xfId="0" applyFont="1" applyFill="1" applyBorder="1" applyAlignment="1">
      <alignment horizontal="center"/>
    </xf>
    <xf numFmtId="1" fontId="4" fillId="4" borderId="3" xfId="0" applyNumberFormat="1" applyFont="1" applyFill="1" applyBorder="1" applyAlignment="1">
      <alignment horizontal="center"/>
    </xf>
    <xf numFmtId="0" fontId="4" fillId="4" borderId="3" xfId="0" applyNumberFormat="1" applyFont="1" applyFill="1" applyBorder="1" applyAlignment="1">
      <alignment horizontal="center"/>
    </xf>
    <xf numFmtId="2" fontId="4" fillId="4" borderId="3" xfId="0" applyNumberFormat="1" applyFont="1" applyFill="1" applyBorder="1" applyAlignment="1">
      <alignment horizontal="center"/>
    </xf>
    <xf numFmtId="0" fontId="5" fillId="4" borderId="3" xfId="0" applyFont="1" applyFill="1" applyBorder="1"/>
    <xf numFmtId="0" fontId="6" fillId="4" borderId="3" xfId="0" applyFont="1" applyFill="1" applyBorder="1"/>
    <xf numFmtId="0" fontId="6" fillId="4" borderId="1" xfId="0" applyFont="1" applyFill="1" applyBorder="1"/>
    <xf numFmtId="0" fontId="7" fillId="4" borderId="1" xfId="0" applyFont="1" applyFill="1" applyBorder="1"/>
    <xf numFmtId="0" fontId="6" fillId="4" borderId="1" xfId="0" applyFont="1" applyFill="1" applyBorder="1" applyAlignment="1">
      <alignment horizontal="center"/>
    </xf>
    <xf numFmtId="1" fontId="6" fillId="4" borderId="1" xfId="0" applyNumberFormat="1" applyFont="1" applyFill="1" applyBorder="1" applyAlignment="1">
      <alignment horizontal="center"/>
    </xf>
    <xf numFmtId="0" fontId="6" fillId="4" borderId="1" xfId="0" applyNumberFormat="1" applyFont="1" applyFill="1" applyBorder="1" applyAlignment="1">
      <alignment horizontal="center"/>
    </xf>
    <xf numFmtId="2" fontId="6" fillId="4" borderId="1" xfId="0" applyNumberFormat="1" applyFont="1" applyFill="1" applyBorder="1" applyAlignment="1">
      <alignment horizontal="center"/>
    </xf>
    <xf numFmtId="0" fontId="0" fillId="0" borderId="1" xfId="0" applyBorder="1" applyAlignment="1">
      <alignment horizontal="center"/>
    </xf>
    <xf numFmtId="0" fontId="0" fillId="0" borderId="0" xfId="0" applyAlignment="1">
      <alignment horizontal="center"/>
    </xf>
    <xf numFmtId="0" fontId="0" fillId="0" borderId="0" xfId="0" applyNumberFormat="1" applyAlignment="1">
      <alignment horizontal="center"/>
    </xf>
    <xf numFmtId="0" fontId="0" fillId="0" borderId="1" xfId="0" applyFill="1" applyBorder="1" applyAlignment="1">
      <alignment horizontal="center"/>
    </xf>
    <xf numFmtId="0" fontId="0" fillId="0" borderId="0" xfId="0" applyFill="1" applyBorder="1" applyAlignment="1">
      <alignment horizontal="center"/>
    </xf>
  </cellXfs>
  <cellStyles count="2">
    <cellStyle name="Normal" xfId="0" builtinId="0"/>
    <cellStyle name="Note" xfId="1" builtinId="10"/>
  </cellStyles>
  <dxfs count="440">
    <dxf>
      <fill>
        <patternFill>
          <bgColor auto="1"/>
        </patternFill>
      </fill>
    </dxf>
    <dxf>
      <font>
        <b val="0"/>
        <i val="0"/>
        <strike val="0"/>
        <condense val="0"/>
        <extend val="0"/>
        <outline val="0"/>
        <shadow val="0"/>
        <u val="none"/>
        <vertAlign val="baseline"/>
        <sz val="11"/>
        <color theme="1"/>
        <name val="Calibri"/>
        <scheme val="minor"/>
      </font>
      <fill>
        <patternFill patternType="solid">
          <fgColor indexed="65"/>
          <bgColor theme="7" tint="0.59999389629810485"/>
        </patternFill>
      </fill>
    </dxf>
    <dxf>
      <fill>
        <patternFill patternType="solid">
          <fgColor indexed="65"/>
          <bgColor rgb="FFFFFFCC"/>
        </patternFill>
      </fill>
      <border diagonalUp="0" diagonalDown="0" outline="0">
        <left style="thin">
          <color rgb="FFB2B2B2"/>
        </left>
        <right style="thin">
          <color rgb="FFB2B2B2"/>
        </right>
        <top style="thin">
          <color rgb="FFB2B2B2"/>
        </top>
        <bottom style="thin">
          <color rgb="FFB2B2B2"/>
        </bottom>
      </border>
    </dxf>
    <dxf>
      <border>
        <left style="medium">
          <color rgb="FF0070C0"/>
        </left>
        <right style="medium">
          <color rgb="FF0070C0"/>
        </right>
        <top style="medium">
          <color rgb="FF0070C0"/>
        </top>
        <bottom style="medium">
          <color rgb="FF0070C0"/>
        </bottom>
      </border>
    </dxf>
    <dxf>
      <border>
        <left style="medium">
          <color rgb="FF0070C0"/>
        </left>
        <right style="medium">
          <color rgb="FF0070C0"/>
        </right>
        <top style="medium">
          <color rgb="FF0070C0"/>
        </top>
        <bottom style="medium">
          <color rgb="FF0070C0"/>
        </bottom>
      </border>
    </dxf>
    <dxf>
      <border>
        <left style="medium">
          <color rgb="FF0070C0"/>
        </left>
        <right style="medium">
          <color rgb="FF0070C0"/>
        </right>
        <top style="medium">
          <color rgb="FF0070C0"/>
        </top>
      </border>
    </dxf>
    <dxf>
      <border>
        <left style="medium">
          <color rgb="FF0070C0"/>
        </left>
        <right style="medium">
          <color rgb="FF0070C0"/>
        </right>
        <top style="medium">
          <color rgb="FF0070C0"/>
        </top>
      </border>
    </dxf>
    <dxf>
      <alignment horizontal="center" readingOrder="0"/>
    </dxf>
    <dxf>
      <font>
        <b val="0"/>
        <i val="0"/>
        <strike val="0"/>
        <condense val="0"/>
        <extend val="0"/>
        <outline val="0"/>
        <shadow val="0"/>
        <u val="none"/>
        <vertAlign val="baseline"/>
        <sz val="11"/>
        <color rgb="FFFA7D00"/>
        <name val="Calibri"/>
        <scheme val="minor"/>
      </font>
      <border diagonalUp="0" diagonalDown="0" outline="0">
        <left/>
        <right/>
        <top/>
        <bottom style="double">
          <color rgb="FFFF8001"/>
        </bottom>
      </border>
    </dxf>
    <dxf>
      <font>
        <b val="0"/>
        <i val="0"/>
        <strike val="0"/>
        <condense val="0"/>
        <extend val="0"/>
        <outline val="0"/>
        <shadow val="0"/>
        <u val="none"/>
        <vertAlign val="baseline"/>
        <sz val="11"/>
        <color rgb="FFFA7D00"/>
        <name val="Calibri"/>
        <scheme val="minor"/>
      </font>
      <border diagonalUp="0" diagonalDown="0" outline="0">
        <left/>
        <right/>
        <top/>
        <bottom style="double">
          <color rgb="FFFF8001"/>
        </bottom>
      </border>
    </dxf>
    <dxf>
      <fill>
        <patternFill patternType="solid">
          <fgColor indexed="65"/>
          <bgColor rgb="FFFFFFCC"/>
        </patternFill>
      </fill>
      <border diagonalUp="0" diagonalDown="0" outline="0">
        <left style="thin">
          <color rgb="FFB2B2B2"/>
        </left>
        <right style="thin">
          <color rgb="FFB2B2B2"/>
        </right>
        <top style="thin">
          <color rgb="FFB2B2B2"/>
        </top>
        <bottom style="thin">
          <color rgb="FFB2B2B2"/>
        </bottom>
      </border>
    </dxf>
    <dxf>
      <fill>
        <patternFill patternType="solid">
          <fgColor indexed="65"/>
          <bgColor rgb="FFFFFFCC"/>
        </patternFill>
      </fill>
      <border diagonalUp="0" diagonalDown="0" outline="0">
        <left style="thin">
          <color rgb="FFB2B2B2"/>
        </left>
        <right style="thin">
          <color rgb="FFB2B2B2"/>
        </right>
        <top style="thin">
          <color rgb="FFB2B2B2"/>
        </top>
        <bottom style="thin">
          <color rgb="FFB2B2B2"/>
        </bottom>
      </border>
    </dxf>
    <dxf>
      <font>
        <color rgb="FF002060"/>
      </font>
    </dxf>
    <dxf>
      <font>
        <color rgb="FF002060"/>
      </font>
    </dxf>
    <dxf>
      <font>
        <color theme="0"/>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font>
        <b/>
      </font>
    </dxf>
    <dxf>
      <font>
        <b/>
      </font>
    </dxf>
    <dxf>
      <numFmt numFmtId="1" formatCode="0"/>
    </dxf>
    <dxf>
      <numFmt numFmtId="1" formatCode="0"/>
    </dxf>
    <dxf>
      <numFmt numFmtId="2" formatCode="0.00"/>
    </dxf>
    <dxf>
      <numFmt numFmtId="2" formatCode="0.00"/>
    </dxf>
    <dxf>
      <numFmt numFmtId="1" formatCode="0"/>
    </dxf>
    <dxf>
      <numFmt numFmtId="2" formatCode="0.00"/>
    </dxf>
    <dxf>
      <numFmt numFmtId="1" formatCode="0"/>
    </dxf>
    <dxf>
      <numFmt numFmtId="1" formatCode="0"/>
    </dxf>
    <dxf>
      <alignment horizontal="center" readingOrder="0"/>
    </dxf>
    <dxf>
      <fill>
        <patternFill>
          <bgColor auto="1"/>
        </patternFill>
      </fill>
    </dxf>
    <dxf>
      <numFmt numFmtId="2" formatCode="0.00"/>
    </dxf>
    <dxf>
      <numFmt numFmtId="2" formatCode="0.00"/>
    </dxf>
    <dxf>
      <font>
        <b val="0"/>
        <i val="0"/>
        <strike val="0"/>
        <condense val="0"/>
        <extend val="0"/>
        <outline val="0"/>
        <shadow val="0"/>
        <u val="none"/>
        <vertAlign val="baseline"/>
        <sz val="11"/>
        <color theme="1"/>
        <name val="Calibri"/>
        <scheme val="minor"/>
      </font>
      <fill>
        <patternFill patternType="solid">
          <fgColor indexed="65"/>
          <bgColor theme="7" tint="0.59999389629810485"/>
        </patternFill>
      </fill>
    </dxf>
    <dxf>
      <fill>
        <patternFill patternType="solid">
          <fgColor indexed="65"/>
          <bgColor rgb="FFFFFFCC"/>
        </patternFill>
      </fill>
      <border diagonalUp="0" diagonalDown="0" outline="0">
        <left style="thin">
          <color rgb="FFB2B2B2"/>
        </left>
        <right style="thin">
          <color rgb="FFB2B2B2"/>
        </right>
        <top style="thin">
          <color rgb="FFB2B2B2"/>
        </top>
        <bottom style="thin">
          <color rgb="FFB2B2B2"/>
        </bottom>
      </border>
    </dxf>
    <dxf>
      <border>
        <left style="medium">
          <color rgb="FF0070C0"/>
        </left>
        <right style="medium">
          <color rgb="FF0070C0"/>
        </right>
        <top style="medium">
          <color rgb="FF0070C0"/>
        </top>
        <bottom style="medium">
          <color rgb="FF0070C0"/>
        </bottom>
      </border>
    </dxf>
    <dxf>
      <border>
        <left style="medium">
          <color rgb="FF0070C0"/>
        </left>
        <right style="medium">
          <color rgb="FF0070C0"/>
        </right>
        <top style="medium">
          <color rgb="FF0070C0"/>
        </top>
        <bottom style="medium">
          <color rgb="FF0070C0"/>
        </bottom>
      </border>
    </dxf>
    <dxf>
      <border>
        <left style="medium">
          <color rgb="FF0070C0"/>
        </left>
        <right style="medium">
          <color rgb="FF0070C0"/>
        </right>
        <top style="medium">
          <color rgb="FF0070C0"/>
        </top>
      </border>
    </dxf>
    <dxf>
      <border>
        <left style="medium">
          <color rgb="FF0070C0"/>
        </left>
        <right style="medium">
          <color rgb="FF0070C0"/>
        </right>
        <top style="medium">
          <color rgb="FF0070C0"/>
        </top>
      </border>
    </dxf>
    <dxf>
      <alignment horizontal="center" readingOrder="0"/>
    </dxf>
    <dxf>
      <font>
        <b val="0"/>
        <i val="0"/>
        <strike val="0"/>
        <condense val="0"/>
        <extend val="0"/>
        <outline val="0"/>
        <shadow val="0"/>
        <u val="none"/>
        <vertAlign val="baseline"/>
        <sz val="11"/>
        <color rgb="FFFA7D00"/>
        <name val="Calibri"/>
        <scheme val="minor"/>
      </font>
      <border diagonalUp="0" diagonalDown="0" outline="0">
        <left/>
        <right/>
        <top/>
        <bottom style="double">
          <color rgb="FFFF8001"/>
        </bottom>
      </border>
    </dxf>
    <dxf>
      <font>
        <b val="0"/>
        <i val="0"/>
        <strike val="0"/>
        <condense val="0"/>
        <extend val="0"/>
        <outline val="0"/>
        <shadow val="0"/>
        <u val="none"/>
        <vertAlign val="baseline"/>
        <sz val="11"/>
        <color rgb="FFFA7D00"/>
        <name val="Calibri"/>
        <scheme val="minor"/>
      </font>
      <border diagonalUp="0" diagonalDown="0" outline="0">
        <left/>
        <right/>
        <top/>
        <bottom style="double">
          <color rgb="FFFF8001"/>
        </bottom>
      </border>
    </dxf>
    <dxf>
      <fill>
        <patternFill patternType="solid">
          <fgColor indexed="65"/>
          <bgColor rgb="FFFFFFCC"/>
        </patternFill>
      </fill>
      <border diagonalUp="0" diagonalDown="0" outline="0">
        <left style="thin">
          <color rgb="FFB2B2B2"/>
        </left>
        <right style="thin">
          <color rgb="FFB2B2B2"/>
        </right>
        <top style="thin">
          <color rgb="FFB2B2B2"/>
        </top>
        <bottom style="thin">
          <color rgb="FFB2B2B2"/>
        </bottom>
      </border>
    </dxf>
    <dxf>
      <fill>
        <patternFill patternType="solid">
          <fgColor indexed="65"/>
          <bgColor rgb="FFFFFFCC"/>
        </patternFill>
      </fill>
      <border diagonalUp="0" diagonalDown="0" outline="0">
        <left style="thin">
          <color rgb="FFB2B2B2"/>
        </left>
        <right style="thin">
          <color rgb="FFB2B2B2"/>
        </right>
        <top style="thin">
          <color rgb="FFB2B2B2"/>
        </top>
        <bottom style="thin">
          <color rgb="FFB2B2B2"/>
        </bottom>
      </border>
    </dxf>
    <dxf>
      <fill>
        <patternFill patternType="solid">
          <fgColor indexed="65"/>
          <bgColor rgb="FFFFFFCC"/>
        </patternFill>
      </fill>
      <border diagonalUp="0" diagonalDown="0" outline="0">
        <left style="thin">
          <color rgb="FFB2B2B2"/>
        </left>
        <right style="thin">
          <color rgb="FFB2B2B2"/>
        </right>
        <top style="thin">
          <color rgb="FFB2B2B2"/>
        </top>
        <bottom style="thin">
          <color rgb="FFB2B2B2"/>
        </bottom>
      </border>
    </dxf>
    <dxf>
      <font>
        <color rgb="FF002060"/>
      </font>
    </dxf>
    <dxf>
      <font>
        <color rgb="FF002060"/>
      </font>
    </dxf>
    <dxf>
      <font>
        <color rgb="FF002060"/>
      </font>
    </dxf>
    <dxf>
      <font>
        <color theme="0"/>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font>
        <b/>
      </font>
    </dxf>
    <dxf>
      <font>
        <b/>
      </font>
    </dxf>
    <dxf>
      <font>
        <b/>
      </font>
    </dxf>
    <dxf>
      <numFmt numFmtId="1" formatCode="0"/>
    </dxf>
    <dxf>
      <numFmt numFmtId="2" formatCode="0.00"/>
    </dxf>
    <dxf>
      <numFmt numFmtId="2" formatCode="0.00"/>
    </dxf>
    <dxf>
      <numFmt numFmtId="1" formatCode="0"/>
    </dxf>
    <dxf>
      <numFmt numFmtId="2" formatCode="0.00"/>
    </dxf>
    <dxf>
      <numFmt numFmtId="1" formatCode="0"/>
    </dxf>
    <dxf>
      <numFmt numFmtId="1" formatCode="0"/>
    </dxf>
    <dxf>
      <alignment horizontal="center" readingOrder="0"/>
    </dxf>
    <dxf>
      <fill>
        <patternFill>
          <bgColor auto="1"/>
        </patternFill>
      </fill>
    </dxf>
    <dxf>
      <numFmt numFmtId="2" formatCode="0.00"/>
    </dxf>
    <dxf>
      <numFmt numFmtId="2" formatCode="0.00"/>
    </dxf>
    <dxf>
      <border>
        <left/>
        <right/>
        <top/>
        <bottom/>
      </border>
    </dxf>
    <dxf>
      <font>
        <b val="0"/>
        <i val="0"/>
        <strike val="0"/>
        <condense val="0"/>
        <extend val="0"/>
        <outline val="0"/>
        <shadow val="0"/>
        <u val="none"/>
        <vertAlign val="baseline"/>
        <sz val="11"/>
        <color theme="1"/>
        <name val="Calibri"/>
        <scheme val="minor"/>
      </font>
      <fill>
        <patternFill patternType="solid">
          <fgColor indexed="65"/>
          <bgColor theme="7" tint="0.59999389629810485"/>
        </patternFill>
      </fill>
    </dxf>
    <dxf>
      <fill>
        <patternFill patternType="solid">
          <fgColor indexed="65"/>
          <bgColor rgb="FFFFFFCC"/>
        </patternFill>
      </fill>
      <border diagonalUp="0" diagonalDown="0" outline="0">
        <left style="thin">
          <color rgb="FFB2B2B2"/>
        </left>
        <right style="thin">
          <color rgb="FFB2B2B2"/>
        </right>
        <top style="thin">
          <color rgb="FFB2B2B2"/>
        </top>
        <bottom style="thin">
          <color rgb="FFB2B2B2"/>
        </bottom>
      </border>
    </dxf>
    <dxf>
      <border>
        <left style="medium">
          <color rgb="FF0070C0"/>
        </left>
        <right style="medium">
          <color rgb="FF0070C0"/>
        </right>
        <top style="medium">
          <color rgb="FF0070C0"/>
        </top>
        <bottom style="medium">
          <color rgb="FF0070C0"/>
        </bottom>
      </border>
    </dxf>
    <dxf>
      <border>
        <left style="medium">
          <color rgb="FF0070C0"/>
        </left>
        <right style="medium">
          <color rgb="FF0070C0"/>
        </right>
        <top style="medium">
          <color rgb="FF0070C0"/>
        </top>
        <bottom style="medium">
          <color rgb="FF0070C0"/>
        </bottom>
      </border>
    </dxf>
    <dxf>
      <border>
        <left/>
        <right/>
        <top/>
        <bottom/>
        <vertical/>
      </border>
    </dxf>
    <dxf>
      <border>
        <left style="medium">
          <color rgb="FF0070C0"/>
        </left>
        <right style="medium">
          <color rgb="FF0070C0"/>
        </right>
        <top style="medium">
          <color rgb="FF0070C0"/>
        </top>
      </border>
    </dxf>
    <dxf>
      <border>
        <left style="medium">
          <color rgb="FF0070C0"/>
        </left>
        <right style="medium">
          <color rgb="FF0070C0"/>
        </right>
        <top style="medium">
          <color rgb="FF0070C0"/>
        </top>
      </border>
    </dxf>
    <dxf>
      <alignment horizontal="center" readingOrder="0"/>
    </dxf>
    <dxf>
      <font>
        <b val="0"/>
        <i val="0"/>
        <strike val="0"/>
        <condense val="0"/>
        <extend val="0"/>
        <outline val="0"/>
        <shadow val="0"/>
        <u val="none"/>
        <vertAlign val="baseline"/>
        <sz val="11"/>
        <color rgb="FFFA7D00"/>
        <name val="Calibri"/>
        <scheme val="minor"/>
      </font>
      <border diagonalUp="0" diagonalDown="0" outline="0">
        <left/>
        <right/>
        <top/>
        <bottom style="double">
          <color rgb="FFFF8001"/>
        </bottom>
      </border>
    </dxf>
    <dxf>
      <font>
        <b val="0"/>
        <i val="0"/>
        <strike val="0"/>
        <condense val="0"/>
        <extend val="0"/>
        <outline val="0"/>
        <shadow val="0"/>
        <u val="none"/>
        <vertAlign val="baseline"/>
        <sz val="11"/>
        <color rgb="FFFA7D00"/>
        <name val="Calibri"/>
        <scheme val="minor"/>
      </font>
      <border diagonalUp="0" diagonalDown="0" outline="0">
        <left/>
        <right/>
        <top/>
        <bottom style="double">
          <color rgb="FFFF8001"/>
        </bottom>
      </border>
    </dxf>
    <dxf>
      <fill>
        <patternFill patternType="solid">
          <fgColor indexed="65"/>
          <bgColor rgb="FFFFFFCC"/>
        </patternFill>
      </fill>
      <border diagonalUp="0" diagonalDown="0" outline="0">
        <left style="thin">
          <color rgb="FFB2B2B2"/>
        </left>
        <right style="thin">
          <color rgb="FFB2B2B2"/>
        </right>
        <top style="thin">
          <color rgb="FFB2B2B2"/>
        </top>
        <bottom style="thin">
          <color rgb="FFB2B2B2"/>
        </bottom>
      </border>
    </dxf>
    <dxf>
      <fill>
        <patternFill patternType="solid">
          <fgColor indexed="65"/>
          <bgColor rgb="FFFFFFCC"/>
        </patternFill>
      </fill>
      <border diagonalUp="0" diagonalDown="0" outline="0">
        <left style="thin">
          <color rgb="FFB2B2B2"/>
        </left>
        <right style="thin">
          <color rgb="FFB2B2B2"/>
        </right>
        <top style="thin">
          <color rgb="FFB2B2B2"/>
        </top>
        <bottom style="thin">
          <color rgb="FFB2B2B2"/>
        </bottom>
      </border>
    </dxf>
    <dxf>
      <fill>
        <patternFill patternType="solid">
          <fgColor indexed="65"/>
          <bgColor rgb="FFFFFFCC"/>
        </patternFill>
      </fill>
      <border diagonalUp="0" diagonalDown="0" outline="0">
        <left style="thin">
          <color rgb="FFB2B2B2"/>
        </left>
        <right style="thin">
          <color rgb="FFB2B2B2"/>
        </right>
        <top style="thin">
          <color rgb="FFB2B2B2"/>
        </top>
        <bottom style="thin">
          <color rgb="FFB2B2B2"/>
        </bottom>
      </border>
    </dxf>
    <dxf>
      <font>
        <color rgb="FF002060"/>
      </font>
    </dxf>
    <dxf>
      <font>
        <color rgb="FF002060"/>
      </font>
    </dxf>
    <dxf>
      <font>
        <color theme="0"/>
      </font>
    </dxf>
    <dxf>
      <font>
        <color rgb="FF002060"/>
      </font>
    </dxf>
    <dxf>
      <font>
        <b/>
      </font>
    </dxf>
    <dxf>
      <fill>
        <patternFill>
          <bgColor auto="1"/>
        </patternFill>
      </fill>
    </dxf>
    <dxf>
      <font>
        <b val="0"/>
        <i val="0"/>
        <strike val="0"/>
        <condense val="0"/>
        <extend val="0"/>
        <outline val="0"/>
        <shadow val="0"/>
        <u val="none"/>
        <vertAlign val="baseline"/>
        <sz val="11"/>
        <color theme="1"/>
        <name val="Calibri"/>
        <scheme val="minor"/>
      </font>
      <fill>
        <patternFill patternType="solid">
          <fgColor indexed="65"/>
          <bgColor theme="7" tint="0.59999389629810485"/>
        </patternFill>
      </fill>
    </dxf>
    <dxf>
      <fill>
        <patternFill patternType="solid">
          <fgColor indexed="65"/>
          <bgColor rgb="FFFFFFCC"/>
        </patternFill>
      </fill>
      <border diagonalUp="0" diagonalDown="0" outline="0">
        <left style="thin">
          <color rgb="FFB2B2B2"/>
        </left>
        <right style="thin">
          <color rgb="FFB2B2B2"/>
        </right>
        <top style="thin">
          <color rgb="FFB2B2B2"/>
        </top>
        <bottom style="thin">
          <color rgb="FFB2B2B2"/>
        </bottom>
      </border>
    </dxf>
    <dxf>
      <border>
        <left style="medium">
          <color rgb="FF0070C0"/>
        </left>
        <right style="medium">
          <color rgb="FF0070C0"/>
        </right>
        <top style="medium">
          <color rgb="FF0070C0"/>
        </top>
        <bottom style="medium">
          <color rgb="FF0070C0"/>
        </bottom>
      </border>
    </dxf>
    <dxf>
      <border>
        <left style="medium">
          <color rgb="FF0070C0"/>
        </left>
        <right style="medium">
          <color rgb="FF0070C0"/>
        </right>
        <top style="medium">
          <color rgb="FF0070C0"/>
        </top>
        <bottom style="medium">
          <color rgb="FF0070C0"/>
        </bottom>
      </border>
    </dxf>
    <dxf>
      <border>
        <left style="medium">
          <color rgb="FF0070C0"/>
        </left>
        <right style="medium">
          <color rgb="FF0070C0"/>
        </right>
        <top style="medium">
          <color rgb="FF0070C0"/>
        </top>
      </border>
    </dxf>
    <dxf>
      <border>
        <left style="medium">
          <color rgb="FF0070C0"/>
        </left>
        <right style="medium">
          <color rgb="FF0070C0"/>
        </right>
        <top style="medium">
          <color rgb="FF0070C0"/>
        </top>
      </border>
    </dxf>
    <dxf>
      <alignment horizontal="center" readingOrder="0"/>
    </dxf>
    <dxf>
      <font>
        <b val="0"/>
        <i val="0"/>
        <strike val="0"/>
        <condense val="0"/>
        <extend val="0"/>
        <outline val="0"/>
        <shadow val="0"/>
        <u val="none"/>
        <vertAlign val="baseline"/>
        <sz val="11"/>
        <color rgb="FFFA7D00"/>
        <name val="Calibri"/>
        <scheme val="minor"/>
      </font>
      <border diagonalUp="0" diagonalDown="0" outline="0">
        <left/>
        <right/>
        <top/>
        <bottom style="double">
          <color rgb="FFFF8001"/>
        </bottom>
      </border>
    </dxf>
    <dxf>
      <font>
        <b val="0"/>
        <i val="0"/>
        <strike val="0"/>
        <condense val="0"/>
        <extend val="0"/>
        <outline val="0"/>
        <shadow val="0"/>
        <u val="none"/>
        <vertAlign val="baseline"/>
        <sz val="11"/>
        <color rgb="FFFA7D00"/>
        <name val="Calibri"/>
        <scheme val="minor"/>
      </font>
      <border diagonalUp="0" diagonalDown="0" outline="0">
        <left/>
        <right/>
        <top/>
        <bottom style="double">
          <color rgb="FFFF8001"/>
        </bottom>
      </border>
    </dxf>
    <dxf>
      <fill>
        <patternFill patternType="solid">
          <fgColor indexed="65"/>
          <bgColor rgb="FFFFFFCC"/>
        </patternFill>
      </fill>
      <border diagonalUp="0" diagonalDown="0" outline="0">
        <left style="thin">
          <color rgb="FFB2B2B2"/>
        </left>
        <right style="thin">
          <color rgb="FFB2B2B2"/>
        </right>
        <top style="thin">
          <color rgb="FFB2B2B2"/>
        </top>
        <bottom style="thin">
          <color rgb="FFB2B2B2"/>
        </bottom>
      </border>
    </dxf>
    <dxf>
      <fill>
        <patternFill patternType="solid">
          <fgColor indexed="65"/>
          <bgColor rgb="FFFFFFCC"/>
        </patternFill>
      </fill>
      <border diagonalUp="0" diagonalDown="0" outline="0">
        <left style="thin">
          <color rgb="FFB2B2B2"/>
        </left>
        <right style="thin">
          <color rgb="FFB2B2B2"/>
        </right>
        <top style="thin">
          <color rgb="FFB2B2B2"/>
        </top>
        <bottom style="thin">
          <color rgb="FFB2B2B2"/>
        </bottom>
      </border>
    </dxf>
    <dxf>
      <font>
        <color rgb="FF002060"/>
      </font>
    </dxf>
    <dxf>
      <font>
        <color rgb="FF002060"/>
      </font>
    </dxf>
    <dxf>
      <font>
        <color theme="0"/>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font>
        <b/>
      </font>
    </dxf>
    <dxf>
      <font>
        <b/>
      </font>
    </dxf>
    <dxf>
      <numFmt numFmtId="1" formatCode="0"/>
    </dxf>
    <dxf>
      <numFmt numFmtId="1" formatCode="0"/>
    </dxf>
    <dxf>
      <numFmt numFmtId="2" formatCode="0.00"/>
    </dxf>
    <dxf>
      <numFmt numFmtId="2" formatCode="0.00"/>
    </dxf>
    <dxf>
      <numFmt numFmtId="1" formatCode="0"/>
    </dxf>
    <dxf>
      <numFmt numFmtId="2" formatCode="0.00"/>
    </dxf>
    <dxf>
      <numFmt numFmtId="1" formatCode="0"/>
    </dxf>
    <dxf>
      <numFmt numFmtId="1" formatCode="0"/>
    </dxf>
    <dxf>
      <alignment horizontal="center" readingOrder="0"/>
    </dxf>
    <dxf>
      <fill>
        <patternFill>
          <bgColor auto="1"/>
        </patternFill>
      </fill>
    </dxf>
    <dxf>
      <numFmt numFmtId="2" formatCode="0.00"/>
    </dxf>
    <dxf>
      <numFmt numFmtId="2" formatCode="0.00"/>
    </dxf>
    <dxf>
      <font>
        <b val="0"/>
        <i val="0"/>
        <strike val="0"/>
        <condense val="0"/>
        <extend val="0"/>
        <outline val="0"/>
        <shadow val="0"/>
        <u val="none"/>
        <vertAlign val="baseline"/>
        <sz val="11"/>
        <color theme="1"/>
        <name val="Calibri"/>
        <scheme val="minor"/>
      </font>
      <fill>
        <patternFill patternType="solid">
          <fgColor indexed="65"/>
          <bgColor theme="7" tint="0.59999389629810485"/>
        </patternFill>
      </fill>
    </dxf>
    <dxf>
      <fill>
        <patternFill patternType="solid">
          <fgColor indexed="65"/>
          <bgColor rgb="FFFFFFCC"/>
        </patternFill>
      </fill>
      <border diagonalUp="0" diagonalDown="0" outline="0">
        <left style="thin">
          <color rgb="FFB2B2B2"/>
        </left>
        <right style="thin">
          <color rgb="FFB2B2B2"/>
        </right>
        <top style="thin">
          <color rgb="FFB2B2B2"/>
        </top>
        <bottom style="thin">
          <color rgb="FFB2B2B2"/>
        </bottom>
      </border>
    </dxf>
    <dxf>
      <border>
        <left style="medium">
          <color rgb="FF0070C0"/>
        </left>
        <right style="medium">
          <color rgb="FF0070C0"/>
        </right>
        <top style="medium">
          <color rgb="FF0070C0"/>
        </top>
        <bottom style="medium">
          <color rgb="FF0070C0"/>
        </bottom>
      </border>
    </dxf>
    <dxf>
      <border>
        <left style="medium">
          <color rgb="FF0070C0"/>
        </left>
        <right style="medium">
          <color rgb="FF0070C0"/>
        </right>
        <top style="medium">
          <color rgb="FF0070C0"/>
        </top>
        <bottom style="medium">
          <color rgb="FF0070C0"/>
        </bottom>
      </border>
    </dxf>
    <dxf>
      <border>
        <left style="medium">
          <color rgb="FF0070C0"/>
        </left>
        <right style="medium">
          <color rgb="FF0070C0"/>
        </right>
        <top style="medium">
          <color rgb="FF0070C0"/>
        </top>
      </border>
    </dxf>
    <dxf>
      <border>
        <left style="medium">
          <color rgb="FF0070C0"/>
        </left>
        <right style="medium">
          <color rgb="FF0070C0"/>
        </right>
        <top style="medium">
          <color rgb="FF0070C0"/>
        </top>
      </border>
    </dxf>
    <dxf>
      <alignment horizontal="center" readingOrder="0"/>
    </dxf>
    <dxf>
      <font>
        <b val="0"/>
        <i val="0"/>
        <strike val="0"/>
        <condense val="0"/>
        <extend val="0"/>
        <outline val="0"/>
        <shadow val="0"/>
        <u val="none"/>
        <vertAlign val="baseline"/>
        <sz val="11"/>
        <color rgb="FFFA7D00"/>
        <name val="Calibri"/>
        <scheme val="minor"/>
      </font>
      <border diagonalUp="0" diagonalDown="0" outline="0">
        <left/>
        <right/>
        <top/>
        <bottom style="double">
          <color rgb="FFFF8001"/>
        </bottom>
      </border>
    </dxf>
    <dxf>
      <font>
        <b val="0"/>
        <i val="0"/>
        <strike val="0"/>
        <condense val="0"/>
        <extend val="0"/>
        <outline val="0"/>
        <shadow val="0"/>
        <u val="none"/>
        <vertAlign val="baseline"/>
        <sz val="11"/>
        <color rgb="FFFA7D00"/>
        <name val="Calibri"/>
        <scheme val="minor"/>
      </font>
      <border diagonalUp="0" diagonalDown="0" outline="0">
        <left/>
        <right/>
        <top/>
        <bottom style="double">
          <color rgb="FFFF8001"/>
        </bottom>
      </border>
    </dxf>
    <dxf>
      <fill>
        <patternFill patternType="solid">
          <fgColor indexed="65"/>
          <bgColor rgb="FFFFFFCC"/>
        </patternFill>
      </fill>
      <border diagonalUp="0" diagonalDown="0" outline="0">
        <left style="thin">
          <color rgb="FFB2B2B2"/>
        </left>
        <right style="thin">
          <color rgb="FFB2B2B2"/>
        </right>
        <top style="thin">
          <color rgb="FFB2B2B2"/>
        </top>
        <bottom style="thin">
          <color rgb="FFB2B2B2"/>
        </bottom>
      </border>
    </dxf>
    <dxf>
      <fill>
        <patternFill patternType="solid">
          <fgColor indexed="65"/>
          <bgColor rgb="FFFFFFCC"/>
        </patternFill>
      </fill>
      <border diagonalUp="0" diagonalDown="0" outline="0">
        <left style="thin">
          <color rgb="FFB2B2B2"/>
        </left>
        <right style="thin">
          <color rgb="FFB2B2B2"/>
        </right>
        <top style="thin">
          <color rgb="FFB2B2B2"/>
        </top>
        <bottom style="thin">
          <color rgb="FFB2B2B2"/>
        </bottom>
      </border>
    </dxf>
    <dxf>
      <fill>
        <patternFill patternType="solid">
          <fgColor indexed="65"/>
          <bgColor rgb="FFFFFFCC"/>
        </patternFill>
      </fill>
      <border diagonalUp="0" diagonalDown="0" outline="0">
        <left style="thin">
          <color rgb="FFB2B2B2"/>
        </left>
        <right style="thin">
          <color rgb="FFB2B2B2"/>
        </right>
        <top style="thin">
          <color rgb="FFB2B2B2"/>
        </top>
        <bottom style="thin">
          <color rgb="FFB2B2B2"/>
        </bottom>
      </border>
    </dxf>
    <dxf>
      <font>
        <color rgb="FF002060"/>
      </font>
    </dxf>
    <dxf>
      <font>
        <color rgb="FF002060"/>
      </font>
    </dxf>
    <dxf>
      <font>
        <color rgb="FF002060"/>
      </font>
    </dxf>
    <dxf>
      <font>
        <color theme="0"/>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font>
        <b/>
      </font>
    </dxf>
    <dxf>
      <font>
        <b/>
      </font>
    </dxf>
    <dxf>
      <font>
        <b/>
      </font>
    </dxf>
    <dxf>
      <numFmt numFmtId="1" formatCode="0"/>
    </dxf>
    <dxf>
      <numFmt numFmtId="2" formatCode="0.00"/>
    </dxf>
    <dxf>
      <numFmt numFmtId="2" formatCode="0.00"/>
    </dxf>
    <dxf>
      <numFmt numFmtId="1" formatCode="0"/>
    </dxf>
    <dxf>
      <numFmt numFmtId="2" formatCode="0.00"/>
    </dxf>
    <dxf>
      <numFmt numFmtId="1" formatCode="0"/>
    </dxf>
    <dxf>
      <numFmt numFmtId="1" formatCode="0"/>
    </dxf>
    <dxf>
      <alignment horizontal="center" readingOrder="0"/>
    </dxf>
    <dxf>
      <fill>
        <patternFill>
          <bgColor auto="1"/>
        </patternFill>
      </fill>
    </dxf>
    <dxf>
      <numFmt numFmtId="2" formatCode="0.00"/>
    </dxf>
    <dxf>
      <numFmt numFmtId="2" formatCode="0.00"/>
    </dxf>
    <dxf>
      <border>
        <left/>
        <right/>
        <top/>
        <bottom/>
      </border>
    </dxf>
    <dxf>
      <font>
        <b val="0"/>
        <i val="0"/>
        <strike val="0"/>
        <condense val="0"/>
        <extend val="0"/>
        <outline val="0"/>
        <shadow val="0"/>
        <u val="none"/>
        <vertAlign val="baseline"/>
        <sz val="11"/>
        <color theme="1"/>
        <name val="Calibri"/>
        <scheme val="minor"/>
      </font>
      <fill>
        <patternFill patternType="solid">
          <fgColor indexed="65"/>
          <bgColor theme="7" tint="0.59999389629810485"/>
        </patternFill>
      </fill>
    </dxf>
    <dxf>
      <fill>
        <patternFill patternType="solid">
          <fgColor indexed="65"/>
          <bgColor rgb="FFFFFFCC"/>
        </patternFill>
      </fill>
      <border diagonalUp="0" diagonalDown="0" outline="0">
        <left style="thin">
          <color rgb="FFB2B2B2"/>
        </left>
        <right style="thin">
          <color rgb="FFB2B2B2"/>
        </right>
        <top style="thin">
          <color rgb="FFB2B2B2"/>
        </top>
        <bottom style="thin">
          <color rgb="FFB2B2B2"/>
        </bottom>
      </border>
    </dxf>
    <dxf>
      <border>
        <left style="medium">
          <color rgb="FF0070C0"/>
        </left>
        <right style="medium">
          <color rgb="FF0070C0"/>
        </right>
        <top style="medium">
          <color rgb="FF0070C0"/>
        </top>
        <bottom style="medium">
          <color rgb="FF0070C0"/>
        </bottom>
      </border>
    </dxf>
    <dxf>
      <border>
        <left style="medium">
          <color rgb="FF0070C0"/>
        </left>
        <right style="medium">
          <color rgb="FF0070C0"/>
        </right>
        <top style="medium">
          <color rgb="FF0070C0"/>
        </top>
        <bottom style="medium">
          <color rgb="FF0070C0"/>
        </bottom>
      </border>
    </dxf>
    <dxf>
      <border>
        <left/>
        <right/>
        <top/>
        <bottom/>
        <vertical/>
      </border>
    </dxf>
    <dxf>
      <border>
        <left style="medium">
          <color rgb="FF0070C0"/>
        </left>
        <right style="medium">
          <color rgb="FF0070C0"/>
        </right>
        <top style="medium">
          <color rgb="FF0070C0"/>
        </top>
      </border>
    </dxf>
    <dxf>
      <border>
        <left style="medium">
          <color rgb="FF0070C0"/>
        </left>
        <right style="medium">
          <color rgb="FF0070C0"/>
        </right>
        <top style="medium">
          <color rgb="FF0070C0"/>
        </top>
      </border>
    </dxf>
    <dxf>
      <alignment horizontal="center" readingOrder="0"/>
    </dxf>
    <dxf>
      <font>
        <b val="0"/>
        <i val="0"/>
        <strike val="0"/>
        <condense val="0"/>
        <extend val="0"/>
        <outline val="0"/>
        <shadow val="0"/>
        <u val="none"/>
        <vertAlign val="baseline"/>
        <sz val="11"/>
        <color rgb="FFFA7D00"/>
        <name val="Calibri"/>
        <scheme val="minor"/>
      </font>
      <border diagonalUp="0" diagonalDown="0" outline="0">
        <left/>
        <right/>
        <top/>
        <bottom style="double">
          <color rgb="FFFF8001"/>
        </bottom>
      </border>
    </dxf>
    <dxf>
      <font>
        <b val="0"/>
        <i val="0"/>
        <strike val="0"/>
        <condense val="0"/>
        <extend val="0"/>
        <outline val="0"/>
        <shadow val="0"/>
        <u val="none"/>
        <vertAlign val="baseline"/>
        <sz val="11"/>
        <color rgb="FFFA7D00"/>
        <name val="Calibri"/>
        <scheme val="minor"/>
      </font>
      <border diagonalUp="0" diagonalDown="0" outline="0">
        <left/>
        <right/>
        <top/>
        <bottom style="double">
          <color rgb="FFFF8001"/>
        </bottom>
      </border>
    </dxf>
    <dxf>
      <fill>
        <patternFill patternType="solid">
          <fgColor indexed="65"/>
          <bgColor rgb="FFFFFFCC"/>
        </patternFill>
      </fill>
      <border diagonalUp="0" diagonalDown="0" outline="0">
        <left style="thin">
          <color rgb="FFB2B2B2"/>
        </left>
        <right style="thin">
          <color rgb="FFB2B2B2"/>
        </right>
        <top style="thin">
          <color rgb="FFB2B2B2"/>
        </top>
        <bottom style="thin">
          <color rgb="FFB2B2B2"/>
        </bottom>
      </border>
    </dxf>
    <dxf>
      <fill>
        <patternFill patternType="solid">
          <fgColor indexed="65"/>
          <bgColor rgb="FFFFFFCC"/>
        </patternFill>
      </fill>
      <border diagonalUp="0" diagonalDown="0" outline="0">
        <left style="thin">
          <color rgb="FFB2B2B2"/>
        </left>
        <right style="thin">
          <color rgb="FFB2B2B2"/>
        </right>
        <top style="thin">
          <color rgb="FFB2B2B2"/>
        </top>
        <bottom style="thin">
          <color rgb="FFB2B2B2"/>
        </bottom>
      </border>
    </dxf>
    <dxf>
      <fill>
        <patternFill patternType="solid">
          <fgColor indexed="65"/>
          <bgColor rgb="FFFFFFCC"/>
        </patternFill>
      </fill>
      <border diagonalUp="0" diagonalDown="0" outline="0">
        <left style="thin">
          <color rgb="FFB2B2B2"/>
        </left>
        <right style="thin">
          <color rgb="FFB2B2B2"/>
        </right>
        <top style="thin">
          <color rgb="FFB2B2B2"/>
        </top>
        <bottom style="thin">
          <color rgb="FFB2B2B2"/>
        </bottom>
      </border>
    </dxf>
    <dxf>
      <font>
        <color rgb="FF002060"/>
      </font>
    </dxf>
    <dxf>
      <font>
        <color rgb="FF002060"/>
      </font>
    </dxf>
    <dxf>
      <font>
        <color theme="0"/>
      </font>
    </dxf>
    <dxf>
      <font>
        <color rgb="FF002060"/>
      </font>
    </dxf>
    <dxf>
      <font>
        <b/>
      </font>
    </dxf>
    <dxf>
      <fill>
        <patternFill>
          <bgColor auto="1"/>
        </patternFill>
      </fill>
    </dxf>
    <dxf>
      <font>
        <b val="0"/>
        <i val="0"/>
        <strike val="0"/>
        <condense val="0"/>
        <extend val="0"/>
        <outline val="0"/>
        <shadow val="0"/>
        <u val="none"/>
        <vertAlign val="baseline"/>
        <sz val="11"/>
        <color theme="1"/>
        <name val="Calibri"/>
        <scheme val="minor"/>
      </font>
      <fill>
        <patternFill patternType="solid">
          <fgColor indexed="65"/>
          <bgColor theme="7" tint="0.59999389629810485"/>
        </patternFill>
      </fill>
    </dxf>
    <dxf>
      <fill>
        <patternFill patternType="solid">
          <fgColor indexed="65"/>
          <bgColor rgb="FFFFFFCC"/>
        </patternFill>
      </fill>
      <border diagonalUp="0" diagonalDown="0" outline="0">
        <left style="thin">
          <color rgb="FFB2B2B2"/>
        </left>
        <right style="thin">
          <color rgb="FFB2B2B2"/>
        </right>
        <top style="thin">
          <color rgb="FFB2B2B2"/>
        </top>
        <bottom style="thin">
          <color rgb="FFB2B2B2"/>
        </bottom>
      </border>
    </dxf>
    <dxf>
      <border>
        <left style="medium">
          <color rgb="FF0070C0"/>
        </left>
        <right style="medium">
          <color rgb="FF0070C0"/>
        </right>
        <top style="medium">
          <color rgb="FF0070C0"/>
        </top>
        <bottom style="medium">
          <color rgb="FF0070C0"/>
        </bottom>
      </border>
    </dxf>
    <dxf>
      <border>
        <left style="medium">
          <color rgb="FF0070C0"/>
        </left>
        <right style="medium">
          <color rgb="FF0070C0"/>
        </right>
        <top style="medium">
          <color rgb="FF0070C0"/>
        </top>
        <bottom style="medium">
          <color rgb="FF0070C0"/>
        </bottom>
      </border>
    </dxf>
    <dxf>
      <border>
        <left style="medium">
          <color rgb="FF0070C0"/>
        </left>
        <right style="medium">
          <color rgb="FF0070C0"/>
        </right>
        <top style="medium">
          <color rgb="FF0070C0"/>
        </top>
      </border>
    </dxf>
    <dxf>
      <border>
        <left style="medium">
          <color rgb="FF0070C0"/>
        </left>
        <right style="medium">
          <color rgb="FF0070C0"/>
        </right>
        <top style="medium">
          <color rgb="FF0070C0"/>
        </top>
      </border>
    </dxf>
    <dxf>
      <alignment horizontal="center" readingOrder="0"/>
    </dxf>
    <dxf>
      <font>
        <b val="0"/>
        <i val="0"/>
        <strike val="0"/>
        <condense val="0"/>
        <extend val="0"/>
        <outline val="0"/>
        <shadow val="0"/>
        <u val="none"/>
        <vertAlign val="baseline"/>
        <sz val="11"/>
        <color rgb="FFFA7D00"/>
        <name val="Calibri"/>
        <scheme val="minor"/>
      </font>
      <border diagonalUp="0" diagonalDown="0" outline="0">
        <left/>
        <right/>
        <top/>
        <bottom style="double">
          <color rgb="FFFF8001"/>
        </bottom>
      </border>
    </dxf>
    <dxf>
      <font>
        <b val="0"/>
        <i val="0"/>
        <strike val="0"/>
        <condense val="0"/>
        <extend val="0"/>
        <outline val="0"/>
        <shadow val="0"/>
        <u val="none"/>
        <vertAlign val="baseline"/>
        <sz val="11"/>
        <color rgb="FFFA7D00"/>
        <name val="Calibri"/>
        <scheme val="minor"/>
      </font>
      <border diagonalUp="0" diagonalDown="0" outline="0">
        <left/>
        <right/>
        <top/>
        <bottom style="double">
          <color rgb="FFFF8001"/>
        </bottom>
      </border>
    </dxf>
    <dxf>
      <fill>
        <patternFill patternType="solid">
          <fgColor indexed="65"/>
          <bgColor rgb="FFFFFFCC"/>
        </patternFill>
      </fill>
      <border diagonalUp="0" diagonalDown="0" outline="0">
        <left style="thin">
          <color rgb="FFB2B2B2"/>
        </left>
        <right style="thin">
          <color rgb="FFB2B2B2"/>
        </right>
        <top style="thin">
          <color rgb="FFB2B2B2"/>
        </top>
        <bottom style="thin">
          <color rgb="FFB2B2B2"/>
        </bottom>
      </border>
    </dxf>
    <dxf>
      <fill>
        <patternFill patternType="solid">
          <fgColor indexed="65"/>
          <bgColor rgb="FFFFFFCC"/>
        </patternFill>
      </fill>
      <border diagonalUp="0" diagonalDown="0" outline="0">
        <left style="thin">
          <color rgb="FFB2B2B2"/>
        </left>
        <right style="thin">
          <color rgb="FFB2B2B2"/>
        </right>
        <top style="thin">
          <color rgb="FFB2B2B2"/>
        </top>
        <bottom style="thin">
          <color rgb="FFB2B2B2"/>
        </bottom>
      </border>
    </dxf>
    <dxf>
      <font>
        <color rgb="FF002060"/>
      </font>
    </dxf>
    <dxf>
      <font>
        <color rgb="FF002060"/>
      </font>
    </dxf>
    <dxf>
      <font>
        <color theme="0"/>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font>
        <b/>
      </font>
    </dxf>
    <dxf>
      <font>
        <b/>
      </font>
    </dxf>
    <dxf>
      <numFmt numFmtId="1" formatCode="0"/>
    </dxf>
    <dxf>
      <numFmt numFmtId="1" formatCode="0"/>
    </dxf>
    <dxf>
      <numFmt numFmtId="2" formatCode="0.00"/>
    </dxf>
    <dxf>
      <numFmt numFmtId="2" formatCode="0.00"/>
    </dxf>
    <dxf>
      <numFmt numFmtId="1" formatCode="0"/>
    </dxf>
    <dxf>
      <numFmt numFmtId="2" formatCode="0.00"/>
    </dxf>
    <dxf>
      <numFmt numFmtId="1" formatCode="0"/>
    </dxf>
    <dxf>
      <numFmt numFmtId="1" formatCode="0"/>
    </dxf>
    <dxf>
      <alignment horizontal="center" readingOrder="0"/>
    </dxf>
    <dxf>
      <fill>
        <patternFill>
          <bgColor auto="1"/>
        </patternFill>
      </fill>
    </dxf>
    <dxf>
      <numFmt numFmtId="2" formatCode="0.00"/>
    </dxf>
    <dxf>
      <numFmt numFmtId="2" formatCode="0.00"/>
    </dxf>
    <dxf>
      <font>
        <b val="0"/>
        <i val="0"/>
        <strike val="0"/>
        <condense val="0"/>
        <extend val="0"/>
        <outline val="0"/>
        <shadow val="0"/>
        <u val="none"/>
        <vertAlign val="baseline"/>
        <sz val="11"/>
        <color theme="1"/>
        <name val="Calibri"/>
        <scheme val="minor"/>
      </font>
      <fill>
        <patternFill patternType="solid">
          <fgColor indexed="65"/>
          <bgColor theme="7" tint="0.59999389629810485"/>
        </patternFill>
      </fill>
    </dxf>
    <dxf>
      <fill>
        <patternFill patternType="solid">
          <fgColor indexed="65"/>
          <bgColor rgb="FFFFFFCC"/>
        </patternFill>
      </fill>
      <border diagonalUp="0" diagonalDown="0" outline="0">
        <left style="thin">
          <color rgb="FFB2B2B2"/>
        </left>
        <right style="thin">
          <color rgb="FFB2B2B2"/>
        </right>
        <top style="thin">
          <color rgb="FFB2B2B2"/>
        </top>
        <bottom style="thin">
          <color rgb="FFB2B2B2"/>
        </bottom>
      </border>
    </dxf>
    <dxf>
      <border>
        <left style="medium">
          <color rgb="FF0070C0"/>
        </left>
        <right style="medium">
          <color rgb="FF0070C0"/>
        </right>
        <top style="medium">
          <color rgb="FF0070C0"/>
        </top>
        <bottom style="medium">
          <color rgb="FF0070C0"/>
        </bottom>
      </border>
    </dxf>
    <dxf>
      <border>
        <left style="medium">
          <color rgb="FF0070C0"/>
        </left>
        <right style="medium">
          <color rgb="FF0070C0"/>
        </right>
        <top style="medium">
          <color rgb="FF0070C0"/>
        </top>
        <bottom style="medium">
          <color rgb="FF0070C0"/>
        </bottom>
      </border>
    </dxf>
    <dxf>
      <border>
        <left style="medium">
          <color rgb="FF0070C0"/>
        </left>
        <right style="medium">
          <color rgb="FF0070C0"/>
        </right>
        <top style="medium">
          <color rgb="FF0070C0"/>
        </top>
      </border>
    </dxf>
    <dxf>
      <border>
        <left style="medium">
          <color rgb="FF0070C0"/>
        </left>
        <right style="medium">
          <color rgb="FF0070C0"/>
        </right>
        <top style="medium">
          <color rgb="FF0070C0"/>
        </top>
      </border>
    </dxf>
    <dxf>
      <alignment horizontal="center" readingOrder="0"/>
    </dxf>
    <dxf>
      <font>
        <b val="0"/>
        <i val="0"/>
        <strike val="0"/>
        <condense val="0"/>
        <extend val="0"/>
        <outline val="0"/>
        <shadow val="0"/>
        <u val="none"/>
        <vertAlign val="baseline"/>
        <sz val="11"/>
        <color rgb="FFFA7D00"/>
        <name val="Calibri"/>
        <scheme val="minor"/>
      </font>
      <border diagonalUp="0" diagonalDown="0" outline="0">
        <left/>
        <right/>
        <top/>
        <bottom style="double">
          <color rgb="FFFF8001"/>
        </bottom>
      </border>
    </dxf>
    <dxf>
      <font>
        <b val="0"/>
        <i val="0"/>
        <strike val="0"/>
        <condense val="0"/>
        <extend val="0"/>
        <outline val="0"/>
        <shadow val="0"/>
        <u val="none"/>
        <vertAlign val="baseline"/>
        <sz val="11"/>
        <color rgb="FFFA7D00"/>
        <name val="Calibri"/>
        <scheme val="minor"/>
      </font>
      <border diagonalUp="0" diagonalDown="0" outline="0">
        <left/>
        <right/>
        <top/>
        <bottom style="double">
          <color rgb="FFFF8001"/>
        </bottom>
      </border>
    </dxf>
    <dxf>
      <fill>
        <patternFill patternType="solid">
          <fgColor indexed="65"/>
          <bgColor rgb="FFFFFFCC"/>
        </patternFill>
      </fill>
      <border diagonalUp="0" diagonalDown="0" outline="0">
        <left style="thin">
          <color rgb="FFB2B2B2"/>
        </left>
        <right style="thin">
          <color rgb="FFB2B2B2"/>
        </right>
        <top style="thin">
          <color rgb="FFB2B2B2"/>
        </top>
        <bottom style="thin">
          <color rgb="FFB2B2B2"/>
        </bottom>
      </border>
    </dxf>
    <dxf>
      <fill>
        <patternFill patternType="solid">
          <fgColor indexed="65"/>
          <bgColor rgb="FFFFFFCC"/>
        </patternFill>
      </fill>
      <border diagonalUp="0" diagonalDown="0" outline="0">
        <left style="thin">
          <color rgb="FFB2B2B2"/>
        </left>
        <right style="thin">
          <color rgb="FFB2B2B2"/>
        </right>
        <top style="thin">
          <color rgb="FFB2B2B2"/>
        </top>
        <bottom style="thin">
          <color rgb="FFB2B2B2"/>
        </bottom>
      </border>
    </dxf>
    <dxf>
      <fill>
        <patternFill patternType="solid">
          <fgColor indexed="65"/>
          <bgColor rgb="FFFFFFCC"/>
        </patternFill>
      </fill>
      <border diagonalUp="0" diagonalDown="0" outline="0">
        <left style="thin">
          <color rgb="FFB2B2B2"/>
        </left>
        <right style="thin">
          <color rgb="FFB2B2B2"/>
        </right>
        <top style="thin">
          <color rgb="FFB2B2B2"/>
        </top>
        <bottom style="thin">
          <color rgb="FFB2B2B2"/>
        </bottom>
      </border>
    </dxf>
    <dxf>
      <font>
        <color rgb="FF002060"/>
      </font>
    </dxf>
    <dxf>
      <font>
        <color rgb="FF002060"/>
      </font>
    </dxf>
    <dxf>
      <font>
        <color rgb="FF002060"/>
      </font>
    </dxf>
    <dxf>
      <font>
        <color theme="0"/>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font>
        <b/>
      </font>
    </dxf>
    <dxf>
      <font>
        <b/>
      </font>
    </dxf>
    <dxf>
      <font>
        <b/>
      </font>
    </dxf>
    <dxf>
      <numFmt numFmtId="1" formatCode="0"/>
    </dxf>
    <dxf>
      <numFmt numFmtId="2" formatCode="0.00"/>
    </dxf>
    <dxf>
      <numFmt numFmtId="2" formatCode="0.00"/>
    </dxf>
    <dxf>
      <numFmt numFmtId="1" formatCode="0"/>
    </dxf>
    <dxf>
      <numFmt numFmtId="2" formatCode="0.00"/>
    </dxf>
    <dxf>
      <numFmt numFmtId="1" formatCode="0"/>
    </dxf>
    <dxf>
      <numFmt numFmtId="1" formatCode="0"/>
    </dxf>
    <dxf>
      <alignment horizontal="center" readingOrder="0"/>
    </dxf>
    <dxf>
      <fill>
        <patternFill>
          <bgColor auto="1"/>
        </patternFill>
      </fill>
    </dxf>
    <dxf>
      <numFmt numFmtId="2" formatCode="0.00"/>
    </dxf>
    <dxf>
      <numFmt numFmtId="2" formatCode="0.00"/>
    </dxf>
    <dxf>
      <border>
        <left/>
        <right/>
        <top/>
        <bottom/>
      </border>
    </dxf>
    <dxf>
      <font>
        <b val="0"/>
        <i val="0"/>
        <strike val="0"/>
        <condense val="0"/>
        <extend val="0"/>
        <outline val="0"/>
        <shadow val="0"/>
        <u val="none"/>
        <vertAlign val="baseline"/>
        <sz val="11"/>
        <color theme="1"/>
        <name val="Calibri"/>
        <scheme val="minor"/>
      </font>
      <fill>
        <patternFill patternType="solid">
          <fgColor indexed="65"/>
          <bgColor theme="7" tint="0.59999389629810485"/>
        </patternFill>
      </fill>
    </dxf>
    <dxf>
      <fill>
        <patternFill patternType="solid">
          <fgColor indexed="65"/>
          <bgColor rgb="FFFFFFCC"/>
        </patternFill>
      </fill>
      <border diagonalUp="0" diagonalDown="0" outline="0">
        <left style="thin">
          <color rgb="FFB2B2B2"/>
        </left>
        <right style="thin">
          <color rgb="FFB2B2B2"/>
        </right>
        <top style="thin">
          <color rgb="FFB2B2B2"/>
        </top>
        <bottom style="thin">
          <color rgb="FFB2B2B2"/>
        </bottom>
      </border>
    </dxf>
    <dxf>
      <border>
        <left style="medium">
          <color rgb="FF0070C0"/>
        </left>
        <right style="medium">
          <color rgb="FF0070C0"/>
        </right>
        <top style="medium">
          <color rgb="FF0070C0"/>
        </top>
        <bottom style="medium">
          <color rgb="FF0070C0"/>
        </bottom>
      </border>
    </dxf>
    <dxf>
      <border>
        <left style="medium">
          <color rgb="FF0070C0"/>
        </left>
        <right style="medium">
          <color rgb="FF0070C0"/>
        </right>
        <top style="medium">
          <color rgb="FF0070C0"/>
        </top>
        <bottom style="medium">
          <color rgb="FF0070C0"/>
        </bottom>
      </border>
    </dxf>
    <dxf>
      <border>
        <left/>
        <right/>
        <top/>
        <bottom/>
        <vertical/>
      </border>
    </dxf>
    <dxf>
      <border>
        <left style="medium">
          <color rgb="FF0070C0"/>
        </left>
        <right style="medium">
          <color rgb="FF0070C0"/>
        </right>
        <top style="medium">
          <color rgb="FF0070C0"/>
        </top>
      </border>
    </dxf>
    <dxf>
      <border>
        <left style="medium">
          <color rgb="FF0070C0"/>
        </left>
        <right style="medium">
          <color rgb="FF0070C0"/>
        </right>
        <top style="medium">
          <color rgb="FF0070C0"/>
        </top>
      </border>
    </dxf>
    <dxf>
      <alignment horizontal="center" readingOrder="0"/>
    </dxf>
    <dxf>
      <font>
        <b val="0"/>
        <i val="0"/>
        <strike val="0"/>
        <condense val="0"/>
        <extend val="0"/>
        <outline val="0"/>
        <shadow val="0"/>
        <u val="none"/>
        <vertAlign val="baseline"/>
        <sz val="11"/>
        <color rgb="FFFA7D00"/>
        <name val="Calibri"/>
        <scheme val="minor"/>
      </font>
      <border diagonalUp="0" diagonalDown="0" outline="0">
        <left/>
        <right/>
        <top/>
        <bottom style="double">
          <color rgb="FFFF8001"/>
        </bottom>
      </border>
    </dxf>
    <dxf>
      <font>
        <b val="0"/>
        <i val="0"/>
        <strike val="0"/>
        <condense val="0"/>
        <extend val="0"/>
        <outline val="0"/>
        <shadow val="0"/>
        <u val="none"/>
        <vertAlign val="baseline"/>
        <sz val="11"/>
        <color rgb="FFFA7D00"/>
        <name val="Calibri"/>
        <scheme val="minor"/>
      </font>
      <border diagonalUp="0" diagonalDown="0" outline="0">
        <left/>
        <right/>
        <top/>
        <bottom style="double">
          <color rgb="FFFF8001"/>
        </bottom>
      </border>
    </dxf>
    <dxf>
      <fill>
        <patternFill patternType="solid">
          <fgColor indexed="65"/>
          <bgColor rgb="FFFFFFCC"/>
        </patternFill>
      </fill>
      <border diagonalUp="0" diagonalDown="0" outline="0">
        <left style="thin">
          <color rgb="FFB2B2B2"/>
        </left>
        <right style="thin">
          <color rgb="FFB2B2B2"/>
        </right>
        <top style="thin">
          <color rgb="FFB2B2B2"/>
        </top>
        <bottom style="thin">
          <color rgb="FFB2B2B2"/>
        </bottom>
      </border>
    </dxf>
    <dxf>
      <fill>
        <patternFill patternType="solid">
          <fgColor indexed="65"/>
          <bgColor rgb="FFFFFFCC"/>
        </patternFill>
      </fill>
      <border diagonalUp="0" diagonalDown="0" outline="0">
        <left style="thin">
          <color rgb="FFB2B2B2"/>
        </left>
        <right style="thin">
          <color rgb="FFB2B2B2"/>
        </right>
        <top style="thin">
          <color rgb="FFB2B2B2"/>
        </top>
        <bottom style="thin">
          <color rgb="FFB2B2B2"/>
        </bottom>
      </border>
    </dxf>
    <dxf>
      <fill>
        <patternFill patternType="solid">
          <fgColor indexed="65"/>
          <bgColor rgb="FFFFFFCC"/>
        </patternFill>
      </fill>
      <border diagonalUp="0" diagonalDown="0" outline="0">
        <left style="thin">
          <color rgb="FFB2B2B2"/>
        </left>
        <right style="thin">
          <color rgb="FFB2B2B2"/>
        </right>
        <top style="thin">
          <color rgb="FFB2B2B2"/>
        </top>
        <bottom style="thin">
          <color rgb="FFB2B2B2"/>
        </bottom>
      </border>
    </dxf>
    <dxf>
      <font>
        <color rgb="FF002060"/>
      </font>
    </dxf>
    <dxf>
      <font>
        <color rgb="FF002060"/>
      </font>
    </dxf>
    <dxf>
      <font>
        <color theme="0"/>
      </font>
    </dxf>
    <dxf>
      <font>
        <color rgb="FF002060"/>
      </font>
    </dxf>
    <dxf>
      <font>
        <b/>
      </font>
    </dxf>
    <dxf>
      <fill>
        <patternFill>
          <bgColor auto="1"/>
        </patternFill>
      </fill>
    </dxf>
    <dxf>
      <font>
        <b val="0"/>
        <i val="0"/>
        <strike val="0"/>
        <condense val="0"/>
        <extend val="0"/>
        <outline val="0"/>
        <shadow val="0"/>
        <u val="none"/>
        <vertAlign val="baseline"/>
        <sz val="11"/>
        <color theme="1"/>
        <name val="Calibri"/>
        <scheme val="minor"/>
      </font>
      <fill>
        <patternFill patternType="solid">
          <fgColor indexed="65"/>
          <bgColor theme="7" tint="0.59999389629810485"/>
        </patternFill>
      </fill>
    </dxf>
    <dxf>
      <fill>
        <patternFill patternType="solid">
          <fgColor indexed="65"/>
          <bgColor rgb="FFFFFFCC"/>
        </patternFill>
      </fill>
      <border diagonalUp="0" diagonalDown="0" outline="0">
        <left style="thin">
          <color rgb="FFB2B2B2"/>
        </left>
        <right style="thin">
          <color rgb="FFB2B2B2"/>
        </right>
        <top style="thin">
          <color rgb="FFB2B2B2"/>
        </top>
        <bottom style="thin">
          <color rgb="FFB2B2B2"/>
        </bottom>
      </border>
    </dxf>
    <dxf>
      <border>
        <left style="medium">
          <color rgb="FF0070C0"/>
        </left>
        <right style="medium">
          <color rgb="FF0070C0"/>
        </right>
        <top style="medium">
          <color rgb="FF0070C0"/>
        </top>
        <bottom style="medium">
          <color rgb="FF0070C0"/>
        </bottom>
      </border>
    </dxf>
    <dxf>
      <border>
        <left style="medium">
          <color rgb="FF0070C0"/>
        </left>
        <right style="medium">
          <color rgb="FF0070C0"/>
        </right>
        <top style="medium">
          <color rgb="FF0070C0"/>
        </top>
        <bottom style="medium">
          <color rgb="FF0070C0"/>
        </bottom>
      </border>
    </dxf>
    <dxf>
      <border>
        <left style="medium">
          <color rgb="FF0070C0"/>
        </left>
        <right style="medium">
          <color rgb="FF0070C0"/>
        </right>
        <top style="medium">
          <color rgb="FF0070C0"/>
        </top>
      </border>
    </dxf>
    <dxf>
      <border>
        <left style="medium">
          <color rgb="FF0070C0"/>
        </left>
        <right style="medium">
          <color rgb="FF0070C0"/>
        </right>
        <top style="medium">
          <color rgb="FF0070C0"/>
        </top>
      </border>
    </dxf>
    <dxf>
      <alignment horizontal="center" readingOrder="0"/>
    </dxf>
    <dxf>
      <font>
        <b val="0"/>
        <i val="0"/>
        <strike val="0"/>
        <condense val="0"/>
        <extend val="0"/>
        <outline val="0"/>
        <shadow val="0"/>
        <u val="none"/>
        <vertAlign val="baseline"/>
        <sz val="11"/>
        <color rgb="FFFA7D00"/>
        <name val="Calibri"/>
        <scheme val="minor"/>
      </font>
      <border diagonalUp="0" diagonalDown="0" outline="0">
        <left/>
        <right/>
        <top/>
        <bottom style="double">
          <color rgb="FFFF8001"/>
        </bottom>
      </border>
    </dxf>
    <dxf>
      <font>
        <b val="0"/>
        <i val="0"/>
        <strike val="0"/>
        <condense val="0"/>
        <extend val="0"/>
        <outline val="0"/>
        <shadow val="0"/>
        <u val="none"/>
        <vertAlign val="baseline"/>
        <sz val="11"/>
        <color rgb="FFFA7D00"/>
        <name val="Calibri"/>
        <scheme val="minor"/>
      </font>
      <border diagonalUp="0" diagonalDown="0" outline="0">
        <left/>
        <right/>
        <top/>
        <bottom style="double">
          <color rgb="FFFF8001"/>
        </bottom>
      </border>
    </dxf>
    <dxf>
      <fill>
        <patternFill patternType="solid">
          <fgColor indexed="65"/>
          <bgColor rgb="FFFFFFCC"/>
        </patternFill>
      </fill>
      <border diagonalUp="0" diagonalDown="0" outline="0">
        <left style="thin">
          <color rgb="FFB2B2B2"/>
        </left>
        <right style="thin">
          <color rgb="FFB2B2B2"/>
        </right>
        <top style="thin">
          <color rgb="FFB2B2B2"/>
        </top>
        <bottom style="thin">
          <color rgb="FFB2B2B2"/>
        </bottom>
      </border>
    </dxf>
    <dxf>
      <fill>
        <patternFill patternType="solid">
          <fgColor indexed="65"/>
          <bgColor rgb="FFFFFFCC"/>
        </patternFill>
      </fill>
      <border diagonalUp="0" diagonalDown="0" outline="0">
        <left style="thin">
          <color rgb="FFB2B2B2"/>
        </left>
        <right style="thin">
          <color rgb="FFB2B2B2"/>
        </right>
        <top style="thin">
          <color rgb="FFB2B2B2"/>
        </top>
        <bottom style="thin">
          <color rgb="FFB2B2B2"/>
        </bottom>
      </border>
    </dxf>
    <dxf>
      <font>
        <color rgb="FF002060"/>
      </font>
    </dxf>
    <dxf>
      <font>
        <color rgb="FF002060"/>
      </font>
    </dxf>
    <dxf>
      <font>
        <color theme="0"/>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font>
        <b/>
      </font>
    </dxf>
    <dxf>
      <font>
        <b/>
      </font>
    </dxf>
    <dxf>
      <numFmt numFmtId="1" formatCode="0"/>
    </dxf>
    <dxf>
      <numFmt numFmtId="1" formatCode="0"/>
    </dxf>
    <dxf>
      <numFmt numFmtId="2" formatCode="0.00"/>
    </dxf>
    <dxf>
      <numFmt numFmtId="2" formatCode="0.00"/>
    </dxf>
    <dxf>
      <numFmt numFmtId="1" formatCode="0"/>
    </dxf>
    <dxf>
      <numFmt numFmtId="2" formatCode="0.00"/>
    </dxf>
    <dxf>
      <numFmt numFmtId="1" formatCode="0"/>
    </dxf>
    <dxf>
      <numFmt numFmtId="1" formatCode="0"/>
    </dxf>
    <dxf>
      <alignment horizontal="center" readingOrder="0"/>
    </dxf>
    <dxf>
      <fill>
        <patternFill>
          <bgColor auto="1"/>
        </patternFill>
      </fill>
    </dxf>
    <dxf>
      <numFmt numFmtId="2" formatCode="0.00"/>
    </dxf>
    <dxf>
      <numFmt numFmtId="2" formatCode="0.00"/>
    </dxf>
    <dxf>
      <font>
        <b val="0"/>
        <i val="0"/>
        <strike val="0"/>
        <condense val="0"/>
        <extend val="0"/>
        <outline val="0"/>
        <shadow val="0"/>
        <u val="none"/>
        <vertAlign val="baseline"/>
        <sz val="11"/>
        <color theme="1"/>
        <name val="Calibri"/>
        <scheme val="minor"/>
      </font>
      <fill>
        <patternFill patternType="solid">
          <fgColor indexed="65"/>
          <bgColor theme="7" tint="0.59999389629810485"/>
        </patternFill>
      </fill>
    </dxf>
    <dxf>
      <fill>
        <patternFill patternType="solid">
          <fgColor indexed="65"/>
          <bgColor rgb="FFFFFFCC"/>
        </patternFill>
      </fill>
      <border diagonalUp="0" diagonalDown="0" outline="0">
        <left style="thin">
          <color rgb="FFB2B2B2"/>
        </left>
        <right style="thin">
          <color rgb="FFB2B2B2"/>
        </right>
        <top style="thin">
          <color rgb="FFB2B2B2"/>
        </top>
        <bottom style="thin">
          <color rgb="FFB2B2B2"/>
        </bottom>
      </border>
    </dxf>
    <dxf>
      <border>
        <left style="medium">
          <color rgb="FF0070C0"/>
        </left>
        <right style="medium">
          <color rgb="FF0070C0"/>
        </right>
        <top style="medium">
          <color rgb="FF0070C0"/>
        </top>
        <bottom style="medium">
          <color rgb="FF0070C0"/>
        </bottom>
      </border>
    </dxf>
    <dxf>
      <border>
        <left style="medium">
          <color rgb="FF0070C0"/>
        </left>
        <right style="medium">
          <color rgb="FF0070C0"/>
        </right>
        <top style="medium">
          <color rgb="FF0070C0"/>
        </top>
        <bottom style="medium">
          <color rgb="FF0070C0"/>
        </bottom>
      </border>
    </dxf>
    <dxf>
      <border>
        <left style="medium">
          <color rgb="FF0070C0"/>
        </left>
        <right style="medium">
          <color rgb="FF0070C0"/>
        </right>
        <top style="medium">
          <color rgb="FF0070C0"/>
        </top>
      </border>
    </dxf>
    <dxf>
      <border>
        <left style="medium">
          <color rgb="FF0070C0"/>
        </left>
        <right style="medium">
          <color rgb="FF0070C0"/>
        </right>
        <top style="medium">
          <color rgb="FF0070C0"/>
        </top>
      </border>
    </dxf>
    <dxf>
      <alignment horizontal="center" readingOrder="0"/>
    </dxf>
    <dxf>
      <font>
        <b val="0"/>
        <i val="0"/>
        <strike val="0"/>
        <condense val="0"/>
        <extend val="0"/>
        <outline val="0"/>
        <shadow val="0"/>
        <u val="none"/>
        <vertAlign val="baseline"/>
        <sz val="11"/>
        <color rgb="FFFA7D00"/>
        <name val="Calibri"/>
        <scheme val="minor"/>
      </font>
      <border diagonalUp="0" diagonalDown="0" outline="0">
        <left/>
        <right/>
        <top/>
        <bottom style="double">
          <color rgb="FFFF8001"/>
        </bottom>
      </border>
    </dxf>
    <dxf>
      <font>
        <b val="0"/>
        <i val="0"/>
        <strike val="0"/>
        <condense val="0"/>
        <extend val="0"/>
        <outline val="0"/>
        <shadow val="0"/>
        <u val="none"/>
        <vertAlign val="baseline"/>
        <sz val="11"/>
        <color rgb="FFFA7D00"/>
        <name val="Calibri"/>
        <scheme val="minor"/>
      </font>
      <border diagonalUp="0" diagonalDown="0" outline="0">
        <left/>
        <right/>
        <top/>
        <bottom style="double">
          <color rgb="FFFF8001"/>
        </bottom>
      </border>
    </dxf>
    <dxf>
      <fill>
        <patternFill patternType="solid">
          <fgColor indexed="65"/>
          <bgColor rgb="FFFFFFCC"/>
        </patternFill>
      </fill>
      <border diagonalUp="0" diagonalDown="0" outline="0">
        <left style="thin">
          <color rgb="FFB2B2B2"/>
        </left>
        <right style="thin">
          <color rgb="FFB2B2B2"/>
        </right>
        <top style="thin">
          <color rgb="FFB2B2B2"/>
        </top>
        <bottom style="thin">
          <color rgb="FFB2B2B2"/>
        </bottom>
      </border>
    </dxf>
    <dxf>
      <fill>
        <patternFill patternType="solid">
          <fgColor indexed="65"/>
          <bgColor rgb="FFFFFFCC"/>
        </patternFill>
      </fill>
      <border diagonalUp="0" diagonalDown="0" outline="0">
        <left style="thin">
          <color rgb="FFB2B2B2"/>
        </left>
        <right style="thin">
          <color rgb="FFB2B2B2"/>
        </right>
        <top style="thin">
          <color rgb="FFB2B2B2"/>
        </top>
        <bottom style="thin">
          <color rgb="FFB2B2B2"/>
        </bottom>
      </border>
    </dxf>
    <dxf>
      <fill>
        <patternFill patternType="solid">
          <fgColor indexed="65"/>
          <bgColor rgb="FFFFFFCC"/>
        </patternFill>
      </fill>
      <border diagonalUp="0" diagonalDown="0" outline="0">
        <left style="thin">
          <color rgb="FFB2B2B2"/>
        </left>
        <right style="thin">
          <color rgb="FFB2B2B2"/>
        </right>
        <top style="thin">
          <color rgb="FFB2B2B2"/>
        </top>
        <bottom style="thin">
          <color rgb="FFB2B2B2"/>
        </bottom>
      </border>
    </dxf>
    <dxf>
      <font>
        <color rgb="FF002060"/>
      </font>
    </dxf>
    <dxf>
      <font>
        <color rgb="FF002060"/>
      </font>
    </dxf>
    <dxf>
      <font>
        <color rgb="FF002060"/>
      </font>
    </dxf>
    <dxf>
      <font>
        <color theme="0"/>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font>
        <b/>
      </font>
    </dxf>
    <dxf>
      <font>
        <b/>
      </font>
    </dxf>
    <dxf>
      <font>
        <b/>
      </font>
    </dxf>
    <dxf>
      <numFmt numFmtId="1" formatCode="0"/>
    </dxf>
    <dxf>
      <numFmt numFmtId="2" formatCode="0.00"/>
    </dxf>
    <dxf>
      <numFmt numFmtId="2" formatCode="0.00"/>
    </dxf>
    <dxf>
      <numFmt numFmtId="1" formatCode="0"/>
    </dxf>
    <dxf>
      <numFmt numFmtId="2" formatCode="0.00"/>
    </dxf>
    <dxf>
      <numFmt numFmtId="1" formatCode="0"/>
    </dxf>
    <dxf>
      <numFmt numFmtId="1" formatCode="0"/>
    </dxf>
    <dxf>
      <alignment horizontal="center" readingOrder="0"/>
    </dxf>
    <dxf>
      <fill>
        <patternFill>
          <bgColor auto="1"/>
        </patternFill>
      </fill>
    </dxf>
    <dxf>
      <numFmt numFmtId="2" formatCode="0.00"/>
    </dxf>
    <dxf>
      <numFmt numFmtId="2" formatCode="0.00"/>
    </dxf>
    <dxf>
      <border>
        <left/>
        <right/>
        <top/>
        <bottom/>
      </border>
    </dxf>
    <dxf>
      <font>
        <b val="0"/>
        <i val="0"/>
        <strike val="0"/>
        <condense val="0"/>
        <extend val="0"/>
        <outline val="0"/>
        <shadow val="0"/>
        <u val="none"/>
        <vertAlign val="baseline"/>
        <sz val="11"/>
        <color theme="1"/>
        <name val="Calibri"/>
        <scheme val="minor"/>
      </font>
      <fill>
        <patternFill patternType="solid">
          <fgColor indexed="65"/>
          <bgColor theme="7" tint="0.59999389629810485"/>
        </patternFill>
      </fill>
    </dxf>
    <dxf>
      <fill>
        <patternFill patternType="solid">
          <fgColor indexed="65"/>
          <bgColor rgb="FFFFFFCC"/>
        </patternFill>
      </fill>
      <border diagonalUp="0" diagonalDown="0" outline="0">
        <left style="thin">
          <color rgb="FFB2B2B2"/>
        </left>
        <right style="thin">
          <color rgb="FFB2B2B2"/>
        </right>
        <top style="thin">
          <color rgb="FFB2B2B2"/>
        </top>
        <bottom style="thin">
          <color rgb="FFB2B2B2"/>
        </bottom>
      </border>
    </dxf>
    <dxf>
      <border>
        <left style="medium">
          <color rgb="FF0070C0"/>
        </left>
        <right style="medium">
          <color rgb="FF0070C0"/>
        </right>
        <top style="medium">
          <color rgb="FF0070C0"/>
        </top>
        <bottom style="medium">
          <color rgb="FF0070C0"/>
        </bottom>
      </border>
    </dxf>
    <dxf>
      <border>
        <left style="medium">
          <color rgb="FF0070C0"/>
        </left>
        <right style="medium">
          <color rgb="FF0070C0"/>
        </right>
        <top style="medium">
          <color rgb="FF0070C0"/>
        </top>
        <bottom style="medium">
          <color rgb="FF0070C0"/>
        </bottom>
      </border>
    </dxf>
    <dxf>
      <border>
        <left/>
        <right/>
        <top/>
        <bottom/>
        <vertical/>
      </border>
    </dxf>
    <dxf>
      <border>
        <left style="medium">
          <color rgb="FF0070C0"/>
        </left>
        <right style="medium">
          <color rgb="FF0070C0"/>
        </right>
        <top style="medium">
          <color rgb="FF0070C0"/>
        </top>
      </border>
    </dxf>
    <dxf>
      <border>
        <left style="medium">
          <color rgb="FF0070C0"/>
        </left>
        <right style="medium">
          <color rgb="FF0070C0"/>
        </right>
        <top style="medium">
          <color rgb="FF0070C0"/>
        </top>
      </border>
    </dxf>
    <dxf>
      <alignment horizontal="center" readingOrder="0"/>
    </dxf>
    <dxf>
      <font>
        <b val="0"/>
        <i val="0"/>
        <strike val="0"/>
        <condense val="0"/>
        <extend val="0"/>
        <outline val="0"/>
        <shadow val="0"/>
        <u val="none"/>
        <vertAlign val="baseline"/>
        <sz val="11"/>
        <color rgb="FFFA7D00"/>
        <name val="Calibri"/>
        <scheme val="minor"/>
      </font>
      <border diagonalUp="0" diagonalDown="0" outline="0">
        <left/>
        <right/>
        <top/>
        <bottom style="double">
          <color rgb="FFFF8001"/>
        </bottom>
      </border>
    </dxf>
    <dxf>
      <font>
        <b val="0"/>
        <i val="0"/>
        <strike val="0"/>
        <condense val="0"/>
        <extend val="0"/>
        <outline val="0"/>
        <shadow val="0"/>
        <u val="none"/>
        <vertAlign val="baseline"/>
        <sz val="11"/>
        <color rgb="FFFA7D00"/>
        <name val="Calibri"/>
        <scheme val="minor"/>
      </font>
      <border diagonalUp="0" diagonalDown="0" outline="0">
        <left/>
        <right/>
        <top/>
        <bottom style="double">
          <color rgb="FFFF8001"/>
        </bottom>
      </border>
    </dxf>
    <dxf>
      <fill>
        <patternFill patternType="solid">
          <fgColor indexed="65"/>
          <bgColor rgb="FFFFFFCC"/>
        </patternFill>
      </fill>
      <border diagonalUp="0" diagonalDown="0" outline="0">
        <left style="thin">
          <color rgb="FFB2B2B2"/>
        </left>
        <right style="thin">
          <color rgb="FFB2B2B2"/>
        </right>
        <top style="thin">
          <color rgb="FFB2B2B2"/>
        </top>
        <bottom style="thin">
          <color rgb="FFB2B2B2"/>
        </bottom>
      </border>
    </dxf>
    <dxf>
      <fill>
        <patternFill patternType="solid">
          <fgColor indexed="65"/>
          <bgColor rgb="FFFFFFCC"/>
        </patternFill>
      </fill>
      <border diagonalUp="0" diagonalDown="0" outline="0">
        <left style="thin">
          <color rgb="FFB2B2B2"/>
        </left>
        <right style="thin">
          <color rgb="FFB2B2B2"/>
        </right>
        <top style="thin">
          <color rgb="FFB2B2B2"/>
        </top>
        <bottom style="thin">
          <color rgb="FFB2B2B2"/>
        </bottom>
      </border>
    </dxf>
    <dxf>
      <fill>
        <patternFill patternType="solid">
          <fgColor indexed="65"/>
          <bgColor rgb="FFFFFFCC"/>
        </patternFill>
      </fill>
      <border diagonalUp="0" diagonalDown="0" outline="0">
        <left style="thin">
          <color rgb="FFB2B2B2"/>
        </left>
        <right style="thin">
          <color rgb="FFB2B2B2"/>
        </right>
        <top style="thin">
          <color rgb="FFB2B2B2"/>
        </top>
        <bottom style="thin">
          <color rgb="FFB2B2B2"/>
        </bottom>
      </border>
    </dxf>
    <dxf>
      <font>
        <color rgb="FF002060"/>
      </font>
    </dxf>
    <dxf>
      <font>
        <color rgb="FF002060"/>
      </font>
    </dxf>
    <dxf>
      <font>
        <color theme="0"/>
      </font>
    </dxf>
    <dxf>
      <font>
        <color rgb="FF002060"/>
      </font>
    </dxf>
    <dxf>
      <font>
        <b/>
      </font>
    </dxf>
    <dxf>
      <alignment horizontal="center"/>
    </dxf>
    <dxf>
      <alignment horizontal="center"/>
    </dxf>
    <dxf>
      <font>
        <b/>
      </font>
    </dxf>
    <dxf>
      <font>
        <color rgb="FF002060"/>
      </font>
    </dxf>
    <dxf>
      <font>
        <color theme="0"/>
      </font>
    </dxf>
    <dxf>
      <font>
        <color rgb="FF002060"/>
      </font>
    </dxf>
    <dxf>
      <font>
        <color rgb="FF002060"/>
      </font>
    </dxf>
    <dxf>
      <fill>
        <patternFill patternType="solid">
          <fgColor indexed="65"/>
          <bgColor rgb="FFFFFFCC"/>
        </patternFill>
      </fill>
      <border diagonalUp="0" diagonalDown="0" outline="0">
        <left style="thin">
          <color rgb="FFB2B2B2"/>
        </left>
        <right style="thin">
          <color rgb="FFB2B2B2"/>
        </right>
        <top style="thin">
          <color rgb="FFB2B2B2"/>
        </top>
        <bottom style="thin">
          <color rgb="FFB2B2B2"/>
        </bottom>
      </border>
    </dxf>
    <dxf>
      <fill>
        <patternFill patternType="solid">
          <fgColor indexed="65"/>
          <bgColor rgb="FFFFFFCC"/>
        </patternFill>
      </fill>
      <border diagonalUp="0" diagonalDown="0" outline="0">
        <left style="thin">
          <color rgb="FFB2B2B2"/>
        </left>
        <right style="thin">
          <color rgb="FFB2B2B2"/>
        </right>
        <top style="thin">
          <color rgb="FFB2B2B2"/>
        </top>
        <bottom style="thin">
          <color rgb="FFB2B2B2"/>
        </bottom>
      </border>
    </dxf>
    <dxf>
      <fill>
        <patternFill patternType="solid">
          <fgColor indexed="65"/>
          <bgColor rgb="FFFFFFCC"/>
        </patternFill>
      </fill>
      <border diagonalUp="0" diagonalDown="0" outline="0">
        <left style="thin">
          <color rgb="FFB2B2B2"/>
        </left>
        <right style="thin">
          <color rgb="FFB2B2B2"/>
        </right>
        <top style="thin">
          <color rgb="FFB2B2B2"/>
        </top>
        <bottom style="thin">
          <color rgb="FFB2B2B2"/>
        </bottom>
      </border>
    </dxf>
    <dxf>
      <font>
        <b val="0"/>
        <i val="0"/>
        <strike val="0"/>
        <condense val="0"/>
        <extend val="0"/>
        <outline val="0"/>
        <shadow val="0"/>
        <u val="none"/>
        <vertAlign val="baseline"/>
        <sz val="11"/>
        <color rgb="FFFA7D00"/>
        <name val="Calibri"/>
        <scheme val="minor"/>
      </font>
      <border diagonalUp="0" diagonalDown="0" outline="0">
        <left/>
        <right/>
        <top/>
        <bottom style="double">
          <color rgb="FFFF8001"/>
        </bottom>
      </border>
    </dxf>
    <dxf>
      <font>
        <b val="0"/>
        <i val="0"/>
        <strike val="0"/>
        <condense val="0"/>
        <extend val="0"/>
        <outline val="0"/>
        <shadow val="0"/>
        <u val="none"/>
        <vertAlign val="baseline"/>
        <sz val="11"/>
        <color rgb="FFFA7D00"/>
        <name val="Calibri"/>
        <scheme val="minor"/>
      </font>
      <border diagonalUp="0" diagonalDown="0" outline="0">
        <left/>
        <right/>
        <top/>
        <bottom style="double">
          <color rgb="FFFF8001"/>
        </bottom>
      </border>
    </dxf>
    <dxf>
      <alignment horizontal="center" readingOrder="0"/>
    </dxf>
    <dxf>
      <border>
        <left style="medium">
          <color rgb="FF0070C0"/>
        </left>
        <right style="medium">
          <color rgb="FF0070C0"/>
        </right>
        <top style="medium">
          <color rgb="FF0070C0"/>
        </top>
      </border>
    </dxf>
    <dxf>
      <border>
        <left style="medium">
          <color rgb="FF0070C0"/>
        </left>
        <right style="medium">
          <color rgb="FF0070C0"/>
        </right>
        <top style="medium">
          <color rgb="FF0070C0"/>
        </top>
      </border>
    </dxf>
    <dxf>
      <border>
        <left/>
        <right/>
        <top/>
        <bottom/>
        <vertical/>
      </border>
    </dxf>
    <dxf>
      <border>
        <left style="medium">
          <color rgb="FF0070C0"/>
        </left>
        <right style="medium">
          <color rgb="FF0070C0"/>
        </right>
        <top style="medium">
          <color rgb="FF0070C0"/>
        </top>
        <bottom style="medium">
          <color rgb="FF0070C0"/>
        </bottom>
      </border>
    </dxf>
    <dxf>
      <border>
        <left style="medium">
          <color rgb="FF0070C0"/>
        </left>
        <right style="medium">
          <color rgb="FF0070C0"/>
        </right>
        <top style="medium">
          <color rgb="FF0070C0"/>
        </top>
        <bottom style="medium">
          <color rgb="FF0070C0"/>
        </bottom>
      </border>
    </dxf>
    <dxf>
      <fill>
        <patternFill patternType="solid">
          <fgColor indexed="65"/>
          <bgColor rgb="FFFFFFCC"/>
        </patternFill>
      </fill>
      <border diagonalUp="0" diagonalDown="0" outline="0">
        <left style="thin">
          <color rgb="FFB2B2B2"/>
        </left>
        <right style="thin">
          <color rgb="FFB2B2B2"/>
        </right>
        <top style="thin">
          <color rgb="FFB2B2B2"/>
        </top>
        <bottom style="thin">
          <color rgb="FFB2B2B2"/>
        </bottom>
      </border>
    </dxf>
    <dxf>
      <font>
        <b val="0"/>
        <i val="0"/>
        <strike val="0"/>
        <condense val="0"/>
        <extend val="0"/>
        <outline val="0"/>
        <shadow val="0"/>
        <u val="none"/>
        <vertAlign val="baseline"/>
        <sz val="11"/>
        <color theme="1"/>
        <name val="Calibri"/>
        <scheme val="minor"/>
      </font>
      <fill>
        <patternFill patternType="solid">
          <fgColor indexed="65"/>
          <bgColor theme="7" tint="0.59999389629810485"/>
        </patternFill>
      </fill>
    </dxf>
    <dxf>
      <border>
        <left/>
        <right/>
        <top/>
        <bottom/>
      </border>
    </dxf>
    <dxf>
      <numFmt numFmtId="2" formatCode="0.00"/>
    </dxf>
    <dxf>
      <numFmt numFmtId="2" formatCode="0.00"/>
    </dxf>
    <dxf>
      <fill>
        <patternFill>
          <bgColor auto="1"/>
        </patternFill>
      </fill>
    </dxf>
    <dxf>
      <alignment horizontal="center" readingOrder="0"/>
    </dxf>
    <dxf>
      <numFmt numFmtId="1" formatCode="0"/>
    </dxf>
    <dxf>
      <numFmt numFmtId="1" formatCode="0"/>
    </dxf>
    <dxf>
      <font>
        <color theme="2" tint="-0.499984740745262"/>
      </font>
      <fill>
        <gradientFill degree="90">
          <stop position="0">
            <color theme="0"/>
          </stop>
          <stop position="1">
            <color theme="5" tint="0.80001220740379042"/>
          </stop>
        </gradientFill>
      </fill>
    </dxf>
    <dxf>
      <numFmt numFmtId="1" formatCode="0"/>
    </dxf>
    <dxf>
      <font>
        <b/>
      </font>
    </dxf>
    <dxf>
      <font>
        <b/>
      </font>
    </dxf>
    <dxf>
      <font>
        <b/>
      </font>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theme="0"/>
      </font>
    </dxf>
    <dxf>
      <font>
        <color rgb="FF002060"/>
      </font>
    </dxf>
    <dxf>
      <font>
        <color rgb="FF002060"/>
      </font>
    </dxf>
    <dxf>
      <font>
        <color rgb="FF002060"/>
      </font>
    </dxf>
    <dxf>
      <fill>
        <patternFill patternType="solid">
          <fgColor indexed="65"/>
          <bgColor rgb="FFFFFFCC"/>
        </patternFill>
      </fill>
      <border diagonalUp="0" diagonalDown="0" outline="0">
        <left style="thin">
          <color rgb="FFB2B2B2"/>
        </left>
        <right style="thin">
          <color rgb="FFB2B2B2"/>
        </right>
        <top style="thin">
          <color rgb="FFB2B2B2"/>
        </top>
        <bottom style="thin">
          <color rgb="FFB2B2B2"/>
        </bottom>
      </border>
    </dxf>
    <dxf>
      <fill>
        <patternFill patternType="solid">
          <fgColor indexed="65"/>
          <bgColor rgb="FFFFFFCC"/>
        </patternFill>
      </fill>
      <border diagonalUp="0" diagonalDown="0" outline="0">
        <left style="thin">
          <color rgb="FFB2B2B2"/>
        </left>
        <right style="thin">
          <color rgb="FFB2B2B2"/>
        </right>
        <top style="thin">
          <color rgb="FFB2B2B2"/>
        </top>
        <bottom style="thin">
          <color rgb="FFB2B2B2"/>
        </bottom>
      </border>
    </dxf>
    <dxf>
      <fill>
        <patternFill patternType="solid">
          <fgColor indexed="65"/>
          <bgColor rgb="FFFFFFCC"/>
        </patternFill>
      </fill>
      <border diagonalUp="0" diagonalDown="0" outline="0">
        <left style="thin">
          <color rgb="FFB2B2B2"/>
        </left>
        <right style="thin">
          <color rgb="FFB2B2B2"/>
        </right>
        <top style="thin">
          <color rgb="FFB2B2B2"/>
        </top>
        <bottom style="thin">
          <color rgb="FFB2B2B2"/>
        </bottom>
      </border>
    </dxf>
    <dxf>
      <font>
        <b val="0"/>
        <i val="0"/>
        <strike val="0"/>
        <condense val="0"/>
        <extend val="0"/>
        <outline val="0"/>
        <shadow val="0"/>
        <u val="none"/>
        <vertAlign val="baseline"/>
        <sz val="11"/>
        <color rgb="FFFA7D00"/>
        <name val="Calibri"/>
        <scheme val="minor"/>
      </font>
      <border diagonalUp="0" diagonalDown="0" outline="0">
        <left/>
        <right/>
        <top/>
        <bottom style="double">
          <color rgb="FFFF8001"/>
        </bottom>
      </border>
    </dxf>
    <dxf>
      <font>
        <b val="0"/>
        <i val="0"/>
        <strike val="0"/>
        <condense val="0"/>
        <extend val="0"/>
        <outline val="0"/>
        <shadow val="0"/>
        <u val="none"/>
        <vertAlign val="baseline"/>
        <sz val="11"/>
        <color rgb="FFFA7D00"/>
        <name val="Calibri"/>
        <scheme val="minor"/>
      </font>
      <border diagonalUp="0" diagonalDown="0" outline="0">
        <left/>
        <right/>
        <top/>
        <bottom style="double">
          <color rgb="FFFF8001"/>
        </bottom>
      </border>
    </dxf>
    <dxf>
      <alignment horizontal="center" readingOrder="0"/>
    </dxf>
    <dxf>
      <border>
        <left style="medium">
          <color rgb="FF0070C0"/>
        </left>
        <right style="medium">
          <color rgb="FF0070C0"/>
        </right>
        <top style="medium">
          <color rgb="FF0070C0"/>
        </top>
      </border>
    </dxf>
    <dxf>
      <border>
        <left style="medium">
          <color rgb="FF0070C0"/>
        </left>
        <right style="medium">
          <color rgb="FF0070C0"/>
        </right>
        <top style="medium">
          <color rgb="FF0070C0"/>
        </top>
      </border>
    </dxf>
    <dxf>
      <border>
        <left style="medium">
          <color rgb="FF0070C0"/>
        </left>
        <right style="medium">
          <color rgb="FF0070C0"/>
        </right>
        <top style="medium">
          <color rgb="FF0070C0"/>
        </top>
        <bottom style="medium">
          <color rgb="FF0070C0"/>
        </bottom>
      </border>
    </dxf>
    <dxf>
      <border>
        <left style="medium">
          <color rgb="FF0070C0"/>
        </left>
        <right style="medium">
          <color rgb="FF0070C0"/>
        </right>
        <top style="medium">
          <color rgb="FF0070C0"/>
        </top>
        <bottom style="medium">
          <color rgb="FF0070C0"/>
        </bottom>
      </border>
    </dxf>
    <dxf>
      <fill>
        <patternFill patternType="solid">
          <fgColor indexed="65"/>
          <bgColor rgb="FFFFFFCC"/>
        </patternFill>
      </fill>
      <border diagonalUp="0" diagonalDown="0" outline="0">
        <left style="thin">
          <color rgb="FFB2B2B2"/>
        </left>
        <right style="thin">
          <color rgb="FFB2B2B2"/>
        </right>
        <top style="thin">
          <color rgb="FFB2B2B2"/>
        </top>
        <bottom style="thin">
          <color rgb="FFB2B2B2"/>
        </bottom>
      </border>
    </dxf>
    <dxf>
      <font>
        <b val="0"/>
        <i val="0"/>
        <strike val="0"/>
        <condense val="0"/>
        <extend val="0"/>
        <outline val="0"/>
        <shadow val="0"/>
        <u val="none"/>
        <vertAlign val="baseline"/>
        <sz val="11"/>
        <color theme="1"/>
        <name val="Calibri"/>
        <scheme val="minor"/>
      </font>
      <fill>
        <patternFill patternType="solid">
          <fgColor indexed="65"/>
          <bgColor theme="7" tint="0.59999389629810485"/>
        </patternFill>
      </fill>
    </dxf>
    <dxf>
      <numFmt numFmtId="2" formatCode="0.00"/>
    </dxf>
    <dxf>
      <numFmt numFmtId="2" formatCode="0.00"/>
    </dxf>
    <dxf>
      <fill>
        <patternFill>
          <bgColor auto="1"/>
        </patternFill>
      </fill>
    </dxf>
    <dxf>
      <alignment horizontal="center" readingOrder="0"/>
    </dxf>
    <dxf>
      <numFmt numFmtId="1" formatCode="0"/>
    </dxf>
    <dxf>
      <numFmt numFmtId="1" formatCode="0"/>
    </dxf>
    <dxf>
      <font>
        <b/>
      </font>
    </dxf>
    <dxf>
      <font>
        <b/>
      </font>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theme="0"/>
      </font>
    </dxf>
    <dxf>
      <font>
        <color rgb="FF002060"/>
      </font>
    </dxf>
    <dxf>
      <font>
        <color rgb="FF002060"/>
      </font>
    </dxf>
    <dxf>
      <fill>
        <patternFill patternType="solid">
          <fgColor indexed="65"/>
          <bgColor rgb="FFFFFFCC"/>
        </patternFill>
      </fill>
      <border diagonalUp="0" diagonalDown="0" outline="0">
        <left style="thin">
          <color rgb="FFB2B2B2"/>
        </left>
        <right style="thin">
          <color rgb="FFB2B2B2"/>
        </right>
        <top style="thin">
          <color rgb="FFB2B2B2"/>
        </top>
        <bottom style="thin">
          <color rgb="FFB2B2B2"/>
        </bottom>
      </border>
    </dxf>
    <dxf>
      <fill>
        <patternFill patternType="solid">
          <fgColor indexed="65"/>
          <bgColor rgb="FFFFFFCC"/>
        </patternFill>
      </fill>
      <border diagonalUp="0" diagonalDown="0" outline="0">
        <left style="thin">
          <color rgb="FFB2B2B2"/>
        </left>
        <right style="thin">
          <color rgb="FFB2B2B2"/>
        </right>
        <top style="thin">
          <color rgb="FFB2B2B2"/>
        </top>
        <bottom style="thin">
          <color rgb="FFB2B2B2"/>
        </bottom>
      </border>
    </dxf>
    <dxf>
      <font>
        <b val="0"/>
        <i val="0"/>
        <strike val="0"/>
        <condense val="0"/>
        <extend val="0"/>
        <outline val="0"/>
        <shadow val="0"/>
        <u val="none"/>
        <vertAlign val="baseline"/>
        <sz val="11"/>
        <color rgb="FFFA7D00"/>
        <name val="Calibri"/>
        <scheme val="minor"/>
      </font>
      <border diagonalUp="0" diagonalDown="0" outline="0">
        <left/>
        <right/>
        <top/>
        <bottom style="double">
          <color rgb="FFFF8001"/>
        </bottom>
      </border>
    </dxf>
    <dxf>
      <font>
        <b val="0"/>
        <i val="0"/>
        <strike val="0"/>
        <condense val="0"/>
        <extend val="0"/>
        <outline val="0"/>
        <shadow val="0"/>
        <u val="none"/>
        <vertAlign val="baseline"/>
        <sz val="11"/>
        <color rgb="FFFA7D00"/>
        <name val="Calibri"/>
        <scheme val="minor"/>
      </font>
      <border diagonalUp="0" diagonalDown="0" outline="0">
        <left/>
        <right/>
        <top/>
        <bottom style="double">
          <color rgb="FFFF8001"/>
        </bottom>
      </border>
    </dxf>
    <dxf>
      <alignment horizontal="center" readingOrder="0"/>
    </dxf>
    <dxf>
      <border>
        <left style="medium">
          <color rgb="FF0070C0"/>
        </left>
        <right style="medium">
          <color rgb="FF0070C0"/>
        </right>
        <top style="medium">
          <color rgb="FF0070C0"/>
        </top>
      </border>
    </dxf>
    <dxf>
      <border>
        <left style="medium">
          <color rgb="FF0070C0"/>
        </left>
        <right style="medium">
          <color rgb="FF0070C0"/>
        </right>
        <top style="medium">
          <color rgb="FF0070C0"/>
        </top>
      </border>
    </dxf>
    <dxf>
      <border>
        <left style="medium">
          <color rgb="FF0070C0"/>
        </left>
        <right style="medium">
          <color rgb="FF0070C0"/>
        </right>
        <top style="medium">
          <color rgb="FF0070C0"/>
        </top>
        <bottom style="medium">
          <color rgb="FF0070C0"/>
        </bottom>
      </border>
    </dxf>
    <dxf>
      <border>
        <left style="medium">
          <color rgb="FF0070C0"/>
        </left>
        <right style="medium">
          <color rgb="FF0070C0"/>
        </right>
        <top style="medium">
          <color rgb="FF0070C0"/>
        </top>
        <bottom style="medium">
          <color rgb="FF0070C0"/>
        </bottom>
      </border>
    </dxf>
    <dxf>
      <fill>
        <patternFill patternType="solid">
          <fgColor indexed="65"/>
          <bgColor rgb="FFFFFFCC"/>
        </patternFill>
      </fill>
      <border diagonalUp="0" diagonalDown="0" outline="0">
        <left style="thin">
          <color rgb="FFB2B2B2"/>
        </left>
        <right style="thin">
          <color rgb="FFB2B2B2"/>
        </right>
        <top style="thin">
          <color rgb="FFB2B2B2"/>
        </top>
        <bottom style="thin">
          <color rgb="FFB2B2B2"/>
        </bottom>
      </border>
    </dxf>
    <dxf>
      <font>
        <b val="0"/>
        <i val="0"/>
        <strike val="0"/>
        <condense val="0"/>
        <extend val="0"/>
        <outline val="0"/>
        <shadow val="0"/>
        <u val="none"/>
        <vertAlign val="baseline"/>
        <sz val="11"/>
        <color theme="1"/>
        <name val="Calibri"/>
        <scheme val="minor"/>
      </font>
      <fill>
        <patternFill patternType="solid">
          <fgColor indexed="65"/>
          <bgColor theme="7" tint="0.59999389629810485"/>
        </patternFill>
      </fill>
    </dxf>
    <dxf>
      <fill>
        <patternFill>
          <bgColor auto="1"/>
        </patternFill>
      </fill>
    </dxf>
    <dxf>
      <numFmt numFmtId="2" formatCode="0.00"/>
    </dxf>
    <dxf>
      <numFmt numFmtId="2" formatCode="0.00"/>
    </dxf>
    <dxf>
      <numFmt numFmtId="2" formatCode="0.00"/>
    </dxf>
    <dxf>
      <numFmt numFmtId="1" formatCode="0"/>
    </dxf>
    <dxf>
      <numFmt numFmtId="1" formatCode="0"/>
    </dxf>
    <dxf>
      <numFmt numFmtId="1" formatCode="0"/>
    </dxf>
    <dxf>
      <numFmt numFmtId="2" formatCode="0.00"/>
    </dxf>
    <dxf>
      <numFmt numFmtId="2" formatCode="0.00"/>
    </dxf>
    <dxf>
      <numFmt numFmtId="2" formatCode="0.00"/>
    </dxf>
    <dxf>
      <numFmt numFmtId="1" formatCode="0"/>
    </dxf>
    <dxf>
      <fill>
        <patternFill>
          <bgColor rgb="FF7CB953"/>
        </patternFill>
      </fill>
    </dxf>
    <dxf>
      <font>
        <b/>
        <i val="0"/>
      </font>
      <fill>
        <patternFill patternType="solid">
          <fgColor auto="1"/>
          <bgColor rgb="FFADADAD"/>
        </patternFill>
      </fill>
      <border>
        <left style="thin">
          <color auto="1"/>
        </left>
        <right style="thin">
          <color auto="1"/>
        </right>
        <top style="thin">
          <color auto="1"/>
        </top>
        <bottom style="thin">
          <color auto="1"/>
        </bottom>
      </border>
    </dxf>
  </dxfs>
  <tableStyles count="2" defaultTableStyle="TableStyleMedium2" defaultPivotStyle="PivotStyleLight16">
    <tableStyle name="Slicer Style 1" pivot="0" table="0" count="4" xr9:uid="{00000000-0011-0000-FFFF-FFFF00000000}">
      <tableStyleElement type="wholeTable" dxfId="439"/>
    </tableStyle>
    <tableStyle name="Slicer Style 2" pivot="0" table="0" count="1" xr9:uid="{A2E518E0-398C-4BFC-A4AC-109BF34F3F0A}">
      <tableStyleElement type="wholeTable" dxfId="438"/>
    </tableStyle>
  </tableStyles>
  <colors>
    <mruColors>
      <color rgb="FFADADAD"/>
      <color rgb="FF7CB953"/>
      <color rgb="FF649B3F"/>
      <color rgb="FF61BFBF"/>
      <color rgb="FF33CCCC"/>
      <color rgb="FF66FFFF"/>
      <color rgb="FFFDFB9D"/>
      <color rgb="FFFCF89E"/>
      <color rgb="FF009999"/>
      <color rgb="FF00CC99"/>
    </mruColors>
  </colors>
  <extLst>
    <ext xmlns:x14="http://schemas.microsoft.com/office/spreadsheetml/2009/9/main" uri="{46F421CA-312F-682f-3DD2-61675219B42D}">
      <x14:dxfs count="3">
        <dxf>
          <fill>
            <gradientFill degree="90">
              <stop position="0">
                <color theme="6" tint="0.80001220740379042"/>
              </stop>
              <stop position="1">
                <color theme="6" tint="0.59999389629810485"/>
              </stop>
            </gradientFill>
          </fill>
        </dxf>
        <dxf>
          <fill>
            <gradientFill degree="90">
              <stop position="0">
                <color theme="7" tint="0.80001220740379042"/>
              </stop>
              <stop position="1">
                <color theme="7" tint="0.59999389629810485"/>
              </stop>
            </gradientFill>
          </fill>
        </dxf>
        <dxf>
          <fill>
            <gradientFill degree="90">
              <stop position="0">
                <color theme="4" tint="0.80001220740379042"/>
              </stop>
              <stop position="1">
                <color theme="4" tint="0.59999389629810485"/>
              </stop>
            </gradient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2"/>
            <x14:slicerStyleElement type="selectedItemWithData" dxfId="1"/>
            <x14:slicerStyleElement type="selectedItemWithNoData" dxfId="0"/>
          </x14:slicerStyleElements>
        </x14:slicerStyle>
        <x14:slicerStyle name="Slicer Style 2"/>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calcChain" Target="calcChain.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cap="all" baseline="0">
                <a:solidFill>
                  <a:schemeClr val="dk1"/>
                </a:solidFill>
                <a:latin typeface="+mn-lt"/>
                <a:ea typeface="+mn-ea"/>
                <a:cs typeface="+mn-cs"/>
              </a:defRPr>
            </a:pPr>
            <a:r>
              <a:rPr lang="en-IN" sz="1200"/>
              <a:t>Submittals Matrix</a:t>
            </a:r>
          </a:p>
        </c:rich>
      </c:tx>
      <c:overlay val="0"/>
      <c:spPr>
        <a:noFill/>
        <a:ln>
          <a:noFill/>
        </a:ln>
        <a:effectLst/>
      </c:spPr>
      <c:txPr>
        <a:bodyPr rot="0" spcFirstLastPara="1" vertOverflow="ellipsis" vert="horz" wrap="square" anchor="ctr" anchorCtr="1"/>
        <a:lstStyle/>
        <a:p>
          <a:pPr>
            <a:defRPr sz="1200" b="1" i="0" u="none" strike="noStrike" kern="1200" cap="all" baseline="0">
              <a:solidFill>
                <a:schemeClr val="dk1"/>
              </a:solidFill>
              <a:latin typeface="+mn-lt"/>
              <a:ea typeface="+mn-ea"/>
              <a:cs typeface="+mn-cs"/>
            </a:defRPr>
          </a:pPr>
          <a:endParaRPr lang="en-US"/>
        </a:p>
      </c:txPr>
    </c:title>
    <c:autoTitleDeleted val="0"/>
    <c:plotArea>
      <c:layout/>
      <c:pieChart>
        <c:varyColors val="1"/>
        <c:ser>
          <c:idx val="0"/>
          <c:order val="0"/>
          <c:spPr>
            <a:scene3d>
              <a:camera prst="orthographicFront"/>
              <a:lightRig rig="threePt" dir="t"/>
            </a:scene3d>
            <a:sp3d>
              <a:bevelT w="190500" h="38100"/>
            </a:sp3d>
          </c:spPr>
          <c:dPt>
            <c:idx val="0"/>
            <c:bubble3D val="0"/>
            <c:spPr>
              <a:solidFill>
                <a:schemeClr val="accent1"/>
              </a:solidFill>
              <a:ln>
                <a:noFill/>
              </a:ln>
              <a:effectLst>
                <a:outerShdw blurRad="63500" sx="102000" sy="102000" algn="ctr" rotWithShape="0">
                  <a:prstClr val="black">
                    <a:alpha val="20000"/>
                  </a:prstClr>
                </a:outerShdw>
              </a:effectLst>
              <a:scene3d>
                <a:camera prst="orthographicFront"/>
                <a:lightRig rig="threePt" dir="t"/>
              </a:scene3d>
              <a:sp3d>
                <a:bevelT w="190500" h="38100"/>
              </a:sp3d>
            </c:spPr>
            <c:extLst>
              <c:ext xmlns:c16="http://schemas.microsoft.com/office/drawing/2014/chart" uri="{C3380CC4-5D6E-409C-BE32-E72D297353CC}">
                <c16:uniqueId val="{00000001-F42B-4F31-A4B3-4B81FC7658B2}"/>
              </c:ext>
            </c:extLst>
          </c:dPt>
          <c:dPt>
            <c:idx val="1"/>
            <c:bubble3D val="0"/>
            <c:spPr>
              <a:solidFill>
                <a:schemeClr val="accent2"/>
              </a:solidFill>
              <a:ln>
                <a:noFill/>
              </a:ln>
              <a:effectLst>
                <a:outerShdw blurRad="63500" sx="102000" sy="102000" algn="ctr" rotWithShape="0">
                  <a:prstClr val="black">
                    <a:alpha val="20000"/>
                  </a:prstClr>
                </a:outerShdw>
              </a:effectLst>
              <a:scene3d>
                <a:camera prst="orthographicFront"/>
                <a:lightRig rig="threePt" dir="t"/>
              </a:scene3d>
              <a:sp3d>
                <a:bevelT w="190500" h="38100"/>
              </a:sp3d>
            </c:spPr>
            <c:extLst>
              <c:ext xmlns:c16="http://schemas.microsoft.com/office/drawing/2014/chart" uri="{C3380CC4-5D6E-409C-BE32-E72D297353CC}">
                <c16:uniqueId val="{00000003-F42B-4F31-A4B3-4B81FC7658B2}"/>
              </c:ext>
            </c:extLst>
          </c:dPt>
          <c:dPt>
            <c:idx val="2"/>
            <c:bubble3D val="0"/>
            <c:spPr>
              <a:solidFill>
                <a:schemeClr val="accent3"/>
              </a:solidFill>
              <a:ln>
                <a:noFill/>
              </a:ln>
              <a:effectLst>
                <a:outerShdw blurRad="63500" sx="102000" sy="102000" algn="ctr" rotWithShape="0">
                  <a:prstClr val="black">
                    <a:alpha val="20000"/>
                  </a:prstClr>
                </a:outerShdw>
              </a:effectLst>
              <a:scene3d>
                <a:camera prst="orthographicFront"/>
                <a:lightRig rig="threePt" dir="t"/>
              </a:scene3d>
              <a:sp3d>
                <a:bevelT w="190500" h="38100"/>
              </a:sp3d>
            </c:spPr>
            <c:extLst>
              <c:ext xmlns:c16="http://schemas.microsoft.com/office/drawing/2014/chart" uri="{C3380CC4-5D6E-409C-BE32-E72D297353CC}">
                <c16:uniqueId val="{00000005-F42B-4F31-A4B3-4B81FC7658B2}"/>
              </c:ext>
            </c:extLst>
          </c:dPt>
          <c:dPt>
            <c:idx val="3"/>
            <c:bubble3D val="0"/>
            <c:spPr>
              <a:solidFill>
                <a:schemeClr val="accent4"/>
              </a:solidFill>
              <a:ln>
                <a:noFill/>
              </a:ln>
              <a:effectLst>
                <a:outerShdw blurRad="63500" sx="102000" sy="102000" algn="ctr" rotWithShape="0">
                  <a:prstClr val="black">
                    <a:alpha val="20000"/>
                  </a:prstClr>
                </a:outerShdw>
              </a:effectLst>
              <a:scene3d>
                <a:camera prst="orthographicFront"/>
                <a:lightRig rig="threePt" dir="t"/>
              </a:scene3d>
              <a:sp3d>
                <a:bevelT w="190500" h="38100"/>
              </a:sp3d>
            </c:spPr>
            <c:extLst>
              <c:ext xmlns:c16="http://schemas.microsoft.com/office/drawing/2014/chart" uri="{C3380CC4-5D6E-409C-BE32-E72D297353CC}">
                <c16:uniqueId val="{00000007-F42B-4F31-A4B3-4B81FC7658B2}"/>
              </c:ext>
            </c:extLst>
          </c:dPt>
          <c:dLbls>
            <c:dLbl>
              <c:idx val="0"/>
              <c:layout>
                <c:manualLayout>
                  <c:x val="6.1111111111111109E-2"/>
                  <c:y val="8.3333333333333329E-2"/>
                </c:manualLayout>
              </c:layout>
              <c:spPr>
                <a:noFill/>
                <a:ln>
                  <a:noFill/>
                </a:ln>
                <a:effectLst/>
              </c:spPr>
              <c:txPr>
                <a:bodyPr rot="0" spcFirstLastPara="1" vertOverflow="ellipsis" vert="horz" wrap="square" anchor="ctr" anchorCtr="1"/>
                <a:lstStyle/>
                <a:p>
                  <a:pPr>
                    <a:defRPr sz="1000" b="1" i="0" u="none" strike="noStrike" kern="1200" spc="0" baseline="0">
                      <a:solidFill>
                        <a:schemeClr val="dk1"/>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F42B-4F31-A4B3-4B81FC7658B2}"/>
                </c:ext>
              </c:extLst>
            </c:dLbl>
            <c:dLbl>
              <c:idx val="1"/>
              <c:layout>
                <c:manualLayout>
                  <c:x val="-5.5555555555555566E-2"/>
                  <c:y val="-7.407407407407407E-2"/>
                </c:manualLayout>
              </c:layout>
              <c:spPr>
                <a:noFill/>
                <a:ln>
                  <a:noFill/>
                </a:ln>
                <a:effectLst/>
              </c:spPr>
              <c:txPr>
                <a:bodyPr rot="0" spcFirstLastPara="1" vertOverflow="ellipsis" vert="horz" wrap="square" anchor="ctr" anchorCtr="1"/>
                <a:lstStyle/>
                <a:p>
                  <a:pPr>
                    <a:defRPr sz="1000" b="1" i="0" u="none" strike="noStrike" kern="1200" spc="0" baseline="0">
                      <a:solidFill>
                        <a:schemeClr val="dk1"/>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3-F42B-4F31-A4B3-4B81FC7658B2}"/>
                </c:ext>
              </c:extLst>
            </c:dLbl>
            <c:dLbl>
              <c:idx val="2"/>
              <c:layout>
                <c:manualLayout>
                  <c:x val="-0.13333322397200351"/>
                  <c:y val="-1.38888888888889E-2"/>
                </c:manualLayout>
              </c:layout>
              <c:spPr>
                <a:noFill/>
                <a:ln>
                  <a:noFill/>
                </a:ln>
                <a:effectLst/>
              </c:spPr>
              <c:txPr>
                <a:bodyPr rot="0" spcFirstLastPara="1" vertOverflow="ellipsis" vert="horz" wrap="square" anchor="ctr" anchorCtr="1"/>
                <a:lstStyle/>
                <a:p>
                  <a:pPr>
                    <a:defRPr sz="1000" b="1" i="0" u="none" strike="noStrike" kern="1200" spc="0" baseline="0">
                      <a:solidFill>
                        <a:schemeClr val="dk1"/>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15:layout>
                    <c:manualLayout>
                      <c:w val="0.22384711286089237"/>
                      <c:h val="0.12689814814814815"/>
                    </c:manualLayout>
                  </c15:layout>
                </c:ext>
                <c:ext xmlns:c16="http://schemas.microsoft.com/office/drawing/2014/chart" uri="{C3380CC4-5D6E-409C-BE32-E72D297353CC}">
                  <c16:uniqueId val="{00000005-F42B-4F31-A4B3-4B81FC7658B2}"/>
                </c:ext>
              </c:extLst>
            </c:dLbl>
            <c:dLbl>
              <c:idx val="3"/>
              <c:layout>
                <c:manualLayout>
                  <c:x val="0.24027766841644785"/>
                  <c:y val="0"/>
                </c:manualLayout>
              </c:layout>
              <c:spPr>
                <a:noFill/>
                <a:ln>
                  <a:noFill/>
                </a:ln>
                <a:effectLst/>
              </c:spPr>
              <c:txPr>
                <a:bodyPr rot="0" spcFirstLastPara="1" vertOverflow="ellipsis" vert="horz" wrap="square" anchor="ctr" anchorCtr="1"/>
                <a:lstStyle/>
                <a:p>
                  <a:pPr>
                    <a:defRPr sz="1000" b="1" i="0" u="none" strike="noStrike" kern="1200" spc="0" baseline="0">
                      <a:solidFill>
                        <a:schemeClr val="dk1"/>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15:layout>
                    <c:manualLayout>
                      <c:w val="0.21254177602799648"/>
                      <c:h val="0.10743073782443861"/>
                    </c:manualLayout>
                  </c15:layout>
                </c:ext>
                <c:ext xmlns:c16="http://schemas.microsoft.com/office/drawing/2014/chart" uri="{C3380CC4-5D6E-409C-BE32-E72D297353CC}">
                  <c16:uniqueId val="{00000007-F42B-4F31-A4B3-4B81FC7658B2}"/>
                </c:ext>
              </c:extLst>
            </c:dLbl>
            <c:spPr>
              <a:noFill/>
              <a:ln>
                <a:noFill/>
              </a:ln>
              <a:effectLst/>
            </c:spPr>
            <c:dLblPos val="outEnd"/>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'Pivots(Brnch)'!$C$55:$C$58</c:f>
              <c:strCache>
                <c:ptCount val="4"/>
                <c:pt idx="0">
                  <c:v>Int Sub</c:v>
                </c:pt>
                <c:pt idx="1">
                  <c:v>Ext Sub</c:v>
                </c:pt>
                <c:pt idx="2">
                  <c:v>Interviews </c:v>
                </c:pt>
                <c:pt idx="3">
                  <c:v>Starts </c:v>
                </c:pt>
              </c:strCache>
            </c:strRef>
          </c:cat>
          <c:val>
            <c:numRef>
              <c:f>'Pivots(Brnch)'!$D$55:$D$58</c:f>
              <c:numCache>
                <c:formatCode>General</c:formatCode>
                <c:ptCount val="4"/>
                <c:pt idx="0">
                  <c:v>125</c:v>
                </c:pt>
                <c:pt idx="1">
                  <c:v>71</c:v>
                </c:pt>
                <c:pt idx="2">
                  <c:v>18</c:v>
                </c:pt>
                <c:pt idx="3">
                  <c:v>4</c:v>
                </c:pt>
              </c:numCache>
            </c:numRef>
          </c:val>
          <c:extLst>
            <c:ext xmlns:c16="http://schemas.microsoft.com/office/drawing/2014/chart" uri="{C3380CC4-5D6E-409C-BE32-E72D297353CC}">
              <c16:uniqueId val="{00000008-F42B-4F31-A4B3-4B81FC7658B2}"/>
            </c:ext>
          </c:extLst>
        </c:ser>
        <c:dLbls>
          <c:dLblPos val="outEnd"/>
          <c:showLegendKey val="0"/>
          <c:showVal val="0"/>
          <c:showCatName val="1"/>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2700" cap="flat" cmpd="sng" algn="ctr">
      <a:solidFill>
        <a:schemeClr val="dk1"/>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[Manager_or_Division_Wise_Monthly_Recruiters_Productivity_Dashboard.xlsm]Sheet2!PivotTable1</c:name>
    <c:fmtId val="6"/>
  </c:pivotSource>
  <c:chart>
    <c:autoTitleDeleted val="0"/>
    <c:pivotFmts>
      <c:pivotFmt>
        <c:idx val="0"/>
      </c:pivotFmt>
      <c:pivotFmt>
        <c:idx val="1"/>
      </c:pivotFmt>
      <c:pivotFmt>
        <c:idx val="2"/>
      </c:pivotFmt>
      <c:pivotFmt>
        <c:idx val="3"/>
        <c:spPr>
          <a:solidFill>
            <a:schemeClr val="accent1"/>
          </a:solidFill>
          <a:ln w="19050" cap="flat" cmpd="sng" algn="ctr">
            <a:solidFill>
              <a:schemeClr val="accent5">
                <a:shade val="50000"/>
              </a:schemeClr>
            </a:solidFill>
            <a:prstDash val="solid"/>
            <a:miter lim="800000"/>
          </a:ln>
          <a:effectLst/>
        </c:spPr>
        <c:marker>
          <c:spPr>
            <a:solidFill>
              <a:schemeClr val="accent5"/>
            </a:solidFill>
            <a:ln w="19050" cap="flat" cmpd="sng" algn="ctr">
              <a:solidFill>
                <a:schemeClr val="accent5">
                  <a:shade val="50000"/>
                </a:schemeClr>
              </a:solidFill>
              <a:prstDash val="solid"/>
              <a:miter lim="800000"/>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22225" cap="rnd">
            <a:solidFill>
              <a:schemeClr val="accent1"/>
            </a:solidFill>
            <a:round/>
          </a:ln>
          <a:effectLst/>
        </c:spPr>
        <c:marker>
          <c:spPr>
            <a:solidFill>
              <a:schemeClr val="accent1"/>
            </a:solidFill>
            <a:ln w="952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2225" cap="rnd">
            <a:solidFill>
              <a:schemeClr val="accent1"/>
            </a:solidFill>
            <a:round/>
          </a:ln>
          <a:effectLst/>
        </c:spPr>
        <c:marker>
          <c:spPr>
            <a:solidFill>
              <a:schemeClr val="accent1"/>
            </a:solidFill>
            <a:ln w="952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22225" cap="rnd">
            <a:solidFill>
              <a:schemeClr val="accent1"/>
            </a:solidFill>
            <a:round/>
          </a:ln>
          <a:effectLst/>
        </c:spPr>
        <c:marker>
          <c:spPr>
            <a:solidFill>
              <a:schemeClr val="accent1"/>
            </a:solidFill>
            <a:ln w="952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2225" cap="rnd">
            <a:solidFill>
              <a:schemeClr val="accent1"/>
            </a:solidFill>
            <a:round/>
          </a:ln>
          <a:effectLst/>
        </c:spPr>
        <c:marker>
          <c:spPr>
            <a:solidFill>
              <a:schemeClr val="accent1"/>
            </a:solidFill>
            <a:ln w="952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22225" cap="rnd">
            <a:solidFill>
              <a:schemeClr val="accent1"/>
            </a:solidFill>
            <a:round/>
          </a:ln>
          <a:effectLst/>
        </c:spPr>
        <c:marker>
          <c:spPr>
            <a:solidFill>
              <a:schemeClr val="accent1"/>
            </a:solidFill>
            <a:ln w="952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22225" cap="rnd">
            <a:solidFill>
              <a:schemeClr val="accent1"/>
            </a:solidFill>
            <a:round/>
          </a:ln>
          <a:effectLst/>
        </c:spPr>
        <c:marker>
          <c:spPr>
            <a:solidFill>
              <a:schemeClr val="accent1"/>
            </a:solidFill>
            <a:ln w="952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2225" cap="rnd">
            <a:solidFill>
              <a:schemeClr val="accent1"/>
            </a:solidFill>
            <a:round/>
          </a:ln>
          <a:effectLst/>
        </c:spPr>
        <c:marker>
          <c:spPr>
            <a:solidFill>
              <a:schemeClr val="accent1"/>
            </a:solidFill>
            <a:ln w="952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2225" cap="rnd">
            <a:solidFill>
              <a:schemeClr val="accent1"/>
            </a:solidFill>
            <a:round/>
          </a:ln>
          <a:effectLst/>
        </c:spPr>
        <c:marker>
          <c:spPr>
            <a:solidFill>
              <a:schemeClr val="accent1"/>
            </a:solidFill>
            <a:ln w="952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2225" cap="rnd">
            <a:solidFill>
              <a:schemeClr val="accent1"/>
            </a:solidFill>
            <a:round/>
          </a:ln>
          <a:effectLst/>
        </c:spPr>
        <c:marker>
          <c:spPr>
            <a:solidFill>
              <a:schemeClr val="accent1"/>
            </a:solidFill>
            <a:ln w="952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2225" cap="rnd">
            <a:solidFill>
              <a:schemeClr val="accent1"/>
            </a:solidFill>
            <a:round/>
          </a:ln>
          <a:effectLst/>
        </c:spPr>
        <c:marker>
          <c:spPr>
            <a:solidFill>
              <a:schemeClr val="accent1"/>
            </a:solidFill>
            <a:ln w="952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pivotFmt>
      <c:pivotFmt>
        <c:idx val="15"/>
        <c:spPr>
          <a:solidFill>
            <a:schemeClr val="accent1"/>
          </a:solidFill>
          <a:ln w="22225" cap="rnd">
            <a:solidFill>
              <a:schemeClr val="accent1"/>
            </a:solidFill>
            <a:round/>
          </a:ln>
          <a:effectLst/>
        </c:spPr>
        <c:marker>
          <c:spPr>
            <a:solidFill>
              <a:schemeClr val="accent1"/>
            </a:solidFill>
            <a:ln w="952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2225" cap="rnd">
            <a:solidFill>
              <a:schemeClr val="accent1"/>
            </a:solidFill>
            <a:round/>
          </a:ln>
          <a:effectLst/>
        </c:spPr>
        <c:marker>
          <c:spPr>
            <a:solidFill>
              <a:schemeClr val="accent1"/>
            </a:solidFill>
            <a:ln w="952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2225" cap="rnd">
            <a:solidFill>
              <a:schemeClr val="accent1"/>
            </a:solidFill>
            <a:round/>
          </a:ln>
          <a:effectLst/>
        </c:spPr>
        <c:marker>
          <c:spPr>
            <a:solidFill>
              <a:schemeClr val="accent1"/>
            </a:solidFill>
            <a:ln w="952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2225" cap="rnd">
            <a:solidFill>
              <a:schemeClr val="accent1"/>
            </a:solidFill>
            <a:round/>
          </a:ln>
          <a:effectLst/>
        </c:spPr>
        <c:marker>
          <c:symbol val="diamond"/>
          <c:size val="6"/>
          <c:spPr>
            <a:solidFill>
              <a:schemeClr val="accent1"/>
            </a:solidFill>
            <a:ln w="952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2225" cap="rnd">
            <a:solidFill>
              <a:schemeClr val="accent1"/>
            </a:solidFill>
            <a:round/>
          </a:ln>
          <a:effectLst/>
        </c:spPr>
        <c:marker>
          <c:spPr>
            <a:solidFill>
              <a:schemeClr val="accent1"/>
            </a:solidFill>
            <a:ln w="952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2225" cap="rnd">
            <a:solidFill>
              <a:schemeClr val="accent1"/>
            </a:solidFill>
            <a:round/>
          </a:ln>
          <a:effectLst/>
        </c:spPr>
        <c:marker>
          <c:spPr>
            <a:solidFill>
              <a:schemeClr val="accent1"/>
            </a:solidFill>
            <a:ln w="9525">
              <a:solidFill>
                <a:schemeClr val="accent1"/>
              </a:solidFill>
              <a:round/>
            </a:ln>
            <a:effectLst/>
          </c:spPr>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2225" cap="rnd">
            <a:solidFill>
              <a:schemeClr val="accent1"/>
            </a:solidFill>
            <a:round/>
          </a:ln>
          <a:effectLst/>
        </c:spPr>
        <c:marker>
          <c:symbol val="diamond"/>
          <c:size val="6"/>
          <c:spPr>
            <a:solidFill>
              <a:schemeClr val="accent1"/>
            </a:solidFill>
            <a:ln w="952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2"/>
        <c:spPr>
          <a:ln w="22225" cap="rnd">
            <a:solidFill>
              <a:schemeClr val="accent1"/>
            </a:solidFill>
            <a:round/>
          </a:ln>
          <a:effectLst/>
        </c:spPr>
        <c:marker>
          <c:symbol val="diamond"/>
          <c:size val="6"/>
          <c:spPr>
            <a:solidFill>
              <a:schemeClr val="accent2"/>
            </a:solidFill>
            <a:ln w="9525">
              <a:solidFill>
                <a:schemeClr val="accen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3"/>
        <c:spPr>
          <a:ln w="22225" cap="rnd">
            <a:solidFill>
              <a:schemeClr val="accent1"/>
            </a:solidFill>
            <a:round/>
          </a:ln>
          <a:effectLst/>
        </c:spPr>
        <c:marker>
          <c:symbol val="triangle"/>
          <c:size val="6"/>
          <c:spPr>
            <a:solidFill>
              <a:schemeClr val="accent3"/>
            </a:solidFill>
            <a:ln w="9525">
              <a:solidFill>
                <a:schemeClr val="accent3"/>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4"/>
        <c:spPr>
          <a:ln w="22225" cap="rnd">
            <a:solidFill>
              <a:schemeClr val="accent1"/>
            </a:solidFill>
            <a:round/>
          </a:ln>
          <a:effectLst/>
        </c:spPr>
        <c:marker>
          <c:symbol val="x"/>
          <c:size val="6"/>
          <c:spPr>
            <a:noFill/>
            <a:ln w="9525">
              <a:solidFill>
                <a:schemeClr val="accent4"/>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5"/>
        <c:spPr>
          <a:ln w="22225" cap="rnd">
            <a:solidFill>
              <a:schemeClr val="accent1"/>
            </a:solidFill>
            <a:round/>
          </a:ln>
          <a:effectLst/>
        </c:spPr>
        <c:marker>
          <c:symbol val="star"/>
          <c:size val="6"/>
          <c:spPr>
            <a:noFill/>
            <a:ln w="9525">
              <a:solidFill>
                <a:schemeClr val="accent5"/>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6"/>
        <c:spPr>
          <a:ln w="22225" cap="rnd">
            <a:solidFill>
              <a:schemeClr val="accent1"/>
            </a:solidFill>
            <a:round/>
          </a:ln>
          <a:effectLst/>
        </c:spPr>
        <c:marker>
          <c:symbol val="circle"/>
          <c:size val="6"/>
          <c:spPr>
            <a:solidFill>
              <a:schemeClr val="accent6"/>
            </a:solidFill>
            <a:ln w="9525">
              <a:solidFill>
                <a:schemeClr val="accent6"/>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7"/>
        <c:spPr>
          <a:ln w="22225" cap="rnd">
            <a:solidFill>
              <a:schemeClr val="accent1"/>
            </a:solidFill>
            <a:round/>
          </a:ln>
          <a:effectLst/>
        </c:spPr>
        <c:marker>
          <c:symbol val="plus"/>
          <c:size val="6"/>
          <c:spPr>
            <a:noFill/>
            <a:ln w="9525">
              <a:solidFill>
                <a:schemeClr val="accent1">
                  <a:lumMod val="60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8"/>
        <c:spPr>
          <a:ln w="22225" cap="rnd">
            <a:solidFill>
              <a:schemeClr val="accent1"/>
            </a:solidFill>
            <a:round/>
          </a:ln>
          <a:effectLst/>
        </c:spPr>
        <c:marker>
          <c:symbol val="dot"/>
          <c:size val="6"/>
          <c:spPr>
            <a:solidFill>
              <a:schemeClr val="accent2">
                <a:lumMod val="60000"/>
              </a:schemeClr>
            </a:solidFill>
            <a:ln w="9525">
              <a:solidFill>
                <a:schemeClr val="accent2">
                  <a:lumMod val="60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9"/>
        <c:spPr>
          <a:ln w="22225" cap="rnd">
            <a:solidFill>
              <a:schemeClr val="accent1"/>
            </a:solidFill>
            <a:round/>
          </a:ln>
          <a:effectLst/>
        </c:spPr>
        <c:marker>
          <c:symbol val="dash"/>
          <c:size val="6"/>
          <c:spPr>
            <a:solidFill>
              <a:schemeClr val="accent3">
                <a:lumMod val="60000"/>
              </a:schemeClr>
            </a:solidFill>
            <a:ln w="9525">
              <a:solidFill>
                <a:schemeClr val="accent3">
                  <a:lumMod val="60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0"/>
        <c:spPr>
          <a:ln w="22225" cap="rnd">
            <a:solidFill>
              <a:schemeClr val="accent1"/>
            </a:solidFill>
            <a:round/>
          </a:ln>
          <a:effectLst/>
        </c:spPr>
        <c:marker>
          <c:symbol val="diamond"/>
          <c:size val="6"/>
          <c:spPr>
            <a:solidFill>
              <a:schemeClr val="accent4">
                <a:lumMod val="60000"/>
              </a:schemeClr>
            </a:solidFill>
            <a:ln w="9525">
              <a:solidFill>
                <a:schemeClr val="accent4">
                  <a:lumMod val="60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1"/>
        <c:spPr>
          <a:ln w="22225" cap="rnd">
            <a:solidFill>
              <a:schemeClr val="accent1"/>
            </a:solidFill>
            <a:round/>
          </a:ln>
          <a:effectLst/>
        </c:spPr>
        <c:marker>
          <c:symbol val="square"/>
          <c:size val="6"/>
          <c:spPr>
            <a:solidFill>
              <a:schemeClr val="accent5">
                <a:lumMod val="60000"/>
              </a:schemeClr>
            </a:solidFill>
            <a:ln w="9525">
              <a:solidFill>
                <a:schemeClr val="accent5">
                  <a:lumMod val="60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2"/>
        <c:spPr>
          <a:ln w="22225" cap="rnd">
            <a:solidFill>
              <a:schemeClr val="accent1"/>
            </a:solidFill>
            <a:round/>
          </a:ln>
          <a:effectLst/>
        </c:spPr>
        <c:marker>
          <c:symbol val="triangle"/>
          <c:size val="6"/>
          <c:spPr>
            <a:solidFill>
              <a:schemeClr val="accent6">
                <a:lumMod val="60000"/>
              </a:schemeClr>
            </a:solidFill>
            <a:ln w="9525">
              <a:solidFill>
                <a:schemeClr val="accent6">
                  <a:lumMod val="60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3"/>
        <c:spPr>
          <a:ln w="22225" cap="rnd">
            <a:solidFill>
              <a:schemeClr val="accent1"/>
            </a:solidFill>
            <a:round/>
          </a:ln>
          <a:effectLst/>
        </c:spPr>
        <c:marker>
          <c:symbol val="x"/>
          <c:size val="6"/>
          <c:spPr>
            <a:noFill/>
            <a:ln w="9525">
              <a:solidFill>
                <a:schemeClr val="accent1">
                  <a:lumMod val="80000"/>
                  <a:lumOff val="20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4"/>
        <c:spPr>
          <a:ln w="22225" cap="rnd">
            <a:solidFill>
              <a:schemeClr val="accent1"/>
            </a:solidFill>
            <a:round/>
          </a:ln>
          <a:effectLst/>
        </c:spPr>
        <c:marker>
          <c:symbol val="star"/>
          <c:size val="6"/>
          <c:spPr>
            <a:noFill/>
            <a:ln w="9525">
              <a:solidFill>
                <a:schemeClr val="accent2">
                  <a:lumMod val="80000"/>
                  <a:lumOff val="20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5"/>
        <c:spPr>
          <a:ln w="22225" cap="rnd">
            <a:solidFill>
              <a:schemeClr val="accent1"/>
            </a:solidFill>
            <a:round/>
          </a:ln>
          <a:effectLst/>
        </c:spPr>
        <c:marker>
          <c:symbol val="circle"/>
          <c:size val="6"/>
          <c:spPr>
            <a:solidFill>
              <a:schemeClr val="accent3">
                <a:lumMod val="80000"/>
                <a:lumOff val="20000"/>
              </a:schemeClr>
            </a:solidFill>
            <a:ln w="9525">
              <a:solidFill>
                <a:schemeClr val="accent3">
                  <a:lumMod val="80000"/>
                  <a:lumOff val="20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6"/>
        <c:spPr>
          <a:ln w="22225" cap="rnd">
            <a:solidFill>
              <a:schemeClr val="accent1"/>
            </a:solidFill>
            <a:round/>
          </a:ln>
          <a:effectLst/>
        </c:spPr>
        <c:marker>
          <c:symbol val="plus"/>
          <c:size val="6"/>
          <c:spPr>
            <a:noFill/>
            <a:ln w="9525">
              <a:solidFill>
                <a:schemeClr val="accent4">
                  <a:lumMod val="80000"/>
                  <a:lumOff val="20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7"/>
        <c:spPr>
          <a:ln w="22225" cap="rnd">
            <a:solidFill>
              <a:schemeClr val="accent1"/>
            </a:solidFill>
            <a:round/>
          </a:ln>
          <a:effectLst/>
        </c:spPr>
        <c:marker>
          <c:symbol val="dot"/>
          <c:size val="6"/>
          <c:spPr>
            <a:solidFill>
              <a:schemeClr val="accent5">
                <a:lumMod val="80000"/>
                <a:lumOff val="20000"/>
              </a:schemeClr>
            </a:solidFill>
            <a:ln w="9525">
              <a:solidFill>
                <a:schemeClr val="accent5">
                  <a:lumMod val="80000"/>
                  <a:lumOff val="20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8"/>
        <c:spPr>
          <a:ln w="22225" cap="rnd">
            <a:solidFill>
              <a:schemeClr val="accent1"/>
            </a:solidFill>
            <a:round/>
          </a:ln>
          <a:effectLst/>
        </c:spPr>
        <c:marker>
          <c:symbol val="diamond"/>
          <c:size val="6"/>
          <c:spPr>
            <a:solidFill>
              <a:schemeClr val="accent1"/>
            </a:solidFill>
            <a:ln w="9525">
              <a:solidFill>
                <a:schemeClr val="accent1"/>
              </a:solidFill>
              <a:round/>
            </a:ln>
            <a:effectLst/>
          </c:spPr>
        </c:marker>
      </c:pivotFmt>
    </c:pivotFmts>
    <c:plotArea>
      <c:layout/>
      <c:lineChart>
        <c:grouping val="standard"/>
        <c:varyColors val="0"/>
        <c:ser>
          <c:idx val="0"/>
          <c:order val="0"/>
          <c:tx>
            <c:strRef>
              <c:f>Sheet2!$B$3:$B$4</c:f>
              <c:strCache>
                <c:ptCount val="1"/>
                <c:pt idx="0">
                  <c:v>Abhijeet Kumar Das</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s>
            <c:delete val="1"/>
          </c:dLbls>
          <c:cat>
            <c:strRef>
              <c:f>Sheet2!$A$5:$A$7</c:f>
              <c:strCache>
                <c:ptCount val="3"/>
                <c:pt idx="0">
                  <c:v> June'23</c:v>
                </c:pt>
                <c:pt idx="1">
                  <c:v> Jul'23</c:v>
                </c:pt>
                <c:pt idx="2">
                  <c:v> Aug'23</c:v>
                </c:pt>
              </c:strCache>
            </c:strRef>
          </c:cat>
          <c:val>
            <c:numRef>
              <c:f>Sheet2!$B$5:$B$7</c:f>
              <c:numCache>
                <c:formatCode>General</c:formatCode>
                <c:ptCount val="3"/>
                <c:pt idx="0">
                  <c:v>6</c:v>
                </c:pt>
                <c:pt idx="1">
                  <c:v>2</c:v>
                </c:pt>
                <c:pt idx="2">
                  <c:v>2</c:v>
                </c:pt>
              </c:numCache>
            </c:numRef>
          </c:val>
          <c:smooth val="0"/>
          <c:extLst>
            <c:ext xmlns:c16="http://schemas.microsoft.com/office/drawing/2014/chart" uri="{C3380CC4-5D6E-409C-BE32-E72D297353CC}">
              <c16:uniqueId val="{00000000-BB58-4316-824D-1AD7AE87DF12}"/>
            </c:ext>
          </c:extLst>
        </c:ser>
        <c:ser>
          <c:idx val="1"/>
          <c:order val="1"/>
          <c:tx>
            <c:strRef>
              <c:f>Sheet2!$C$3:$C$4</c:f>
              <c:strCache>
                <c:ptCount val="1"/>
                <c:pt idx="0">
                  <c:v>Anant Tripathi</c:v>
                </c:pt>
              </c:strCache>
            </c:strRef>
          </c:tx>
          <c:spPr>
            <a:ln w="22225" cap="rnd">
              <a:solidFill>
                <a:schemeClr val="accent2"/>
              </a:solidFill>
              <a:round/>
            </a:ln>
            <a:effectLst/>
          </c:spPr>
          <c:marker>
            <c:symbol val="diamond"/>
            <c:size val="6"/>
            <c:spPr>
              <a:solidFill>
                <a:schemeClr val="accent2"/>
              </a:solidFill>
              <a:ln w="9525">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Sheet2!$A$5:$A$7</c:f>
              <c:strCache>
                <c:ptCount val="3"/>
                <c:pt idx="0">
                  <c:v> June'23</c:v>
                </c:pt>
                <c:pt idx="1">
                  <c:v> Jul'23</c:v>
                </c:pt>
                <c:pt idx="2">
                  <c:v> Aug'23</c:v>
                </c:pt>
              </c:strCache>
            </c:strRef>
          </c:cat>
          <c:val>
            <c:numRef>
              <c:f>Sheet2!$C$5:$C$7</c:f>
              <c:numCache>
                <c:formatCode>General</c:formatCode>
                <c:ptCount val="3"/>
                <c:pt idx="0">
                  <c:v>3</c:v>
                </c:pt>
                <c:pt idx="1">
                  <c:v>8</c:v>
                </c:pt>
                <c:pt idx="2">
                  <c:v>2</c:v>
                </c:pt>
              </c:numCache>
            </c:numRef>
          </c:val>
          <c:smooth val="0"/>
          <c:extLst>
            <c:ext xmlns:c16="http://schemas.microsoft.com/office/drawing/2014/chart" uri="{C3380CC4-5D6E-409C-BE32-E72D297353CC}">
              <c16:uniqueId val="{00000001-BB58-4316-824D-1AD7AE87DF12}"/>
            </c:ext>
          </c:extLst>
        </c:ser>
        <c:ser>
          <c:idx val="2"/>
          <c:order val="2"/>
          <c:tx>
            <c:strRef>
              <c:f>Sheet2!$D$3:$D$4</c:f>
              <c:strCache>
                <c:ptCount val="1"/>
                <c:pt idx="0">
                  <c:v>AS-Direct Clients</c:v>
                </c:pt>
              </c:strCache>
            </c:strRef>
          </c:tx>
          <c:spPr>
            <a:ln w="22225" cap="rnd">
              <a:solidFill>
                <a:schemeClr val="accent3"/>
              </a:solidFill>
              <a:round/>
            </a:ln>
            <a:effectLst/>
          </c:spPr>
          <c:marker>
            <c:symbol val="triangle"/>
            <c:size val="6"/>
            <c:spPr>
              <a:solidFill>
                <a:schemeClr val="accent3"/>
              </a:solidFill>
              <a:ln w="9525">
                <a:solidFill>
                  <a:schemeClr val="accent3"/>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Sheet2!$A$5:$A$7</c:f>
              <c:strCache>
                <c:ptCount val="3"/>
                <c:pt idx="0">
                  <c:v> June'23</c:v>
                </c:pt>
                <c:pt idx="1">
                  <c:v> Jul'23</c:v>
                </c:pt>
                <c:pt idx="2">
                  <c:v> Aug'23</c:v>
                </c:pt>
              </c:strCache>
            </c:strRef>
          </c:cat>
          <c:val>
            <c:numRef>
              <c:f>Sheet2!$D$5:$D$7</c:f>
              <c:numCache>
                <c:formatCode>General</c:formatCode>
                <c:ptCount val="3"/>
                <c:pt idx="0">
                  <c:v>6</c:v>
                </c:pt>
                <c:pt idx="1">
                  <c:v>4</c:v>
                </c:pt>
                <c:pt idx="2">
                  <c:v>13</c:v>
                </c:pt>
              </c:numCache>
            </c:numRef>
          </c:val>
          <c:smooth val="0"/>
          <c:extLst>
            <c:ext xmlns:c16="http://schemas.microsoft.com/office/drawing/2014/chart" uri="{C3380CC4-5D6E-409C-BE32-E72D297353CC}">
              <c16:uniqueId val="{00000002-BB58-4316-824D-1AD7AE87DF12}"/>
            </c:ext>
          </c:extLst>
        </c:ser>
        <c:ser>
          <c:idx val="3"/>
          <c:order val="3"/>
          <c:tx>
            <c:strRef>
              <c:f>Sheet2!$E$3:$E$4</c:f>
              <c:strCache>
                <c:ptCount val="1"/>
                <c:pt idx="0">
                  <c:v>AS-Gautam Kumar</c:v>
                </c:pt>
              </c:strCache>
            </c:strRef>
          </c:tx>
          <c:spPr>
            <a:ln w="22225" cap="rnd">
              <a:solidFill>
                <a:schemeClr val="accent4"/>
              </a:solidFill>
              <a:round/>
            </a:ln>
            <a:effectLst/>
          </c:spPr>
          <c:marker>
            <c:symbol val="x"/>
            <c:size val="6"/>
            <c:spPr>
              <a:noFill/>
              <a:ln w="9525">
                <a:solidFill>
                  <a:schemeClr val="accent4"/>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Sheet2!$A$5:$A$7</c:f>
              <c:strCache>
                <c:ptCount val="3"/>
                <c:pt idx="0">
                  <c:v> June'23</c:v>
                </c:pt>
                <c:pt idx="1">
                  <c:v> Jul'23</c:v>
                </c:pt>
                <c:pt idx="2">
                  <c:v> Aug'23</c:v>
                </c:pt>
              </c:strCache>
            </c:strRef>
          </c:cat>
          <c:val>
            <c:numRef>
              <c:f>Sheet2!$E$5:$E$7</c:f>
              <c:numCache>
                <c:formatCode>General</c:formatCode>
                <c:ptCount val="3"/>
                <c:pt idx="0">
                  <c:v>2</c:v>
                </c:pt>
                <c:pt idx="1">
                  <c:v>0</c:v>
                </c:pt>
                <c:pt idx="2">
                  <c:v>3</c:v>
                </c:pt>
              </c:numCache>
            </c:numRef>
          </c:val>
          <c:smooth val="0"/>
          <c:extLst>
            <c:ext xmlns:c16="http://schemas.microsoft.com/office/drawing/2014/chart" uri="{C3380CC4-5D6E-409C-BE32-E72D297353CC}">
              <c16:uniqueId val="{00000003-BB58-4316-824D-1AD7AE87DF12}"/>
            </c:ext>
          </c:extLst>
        </c:ser>
        <c:ser>
          <c:idx val="4"/>
          <c:order val="4"/>
          <c:tx>
            <c:strRef>
              <c:f>Sheet2!$F$3:$F$4</c:f>
              <c:strCache>
                <c:ptCount val="1"/>
                <c:pt idx="0">
                  <c:v>AS-Himanshu Dayal</c:v>
                </c:pt>
              </c:strCache>
            </c:strRef>
          </c:tx>
          <c:spPr>
            <a:ln w="22225" cap="rnd">
              <a:solidFill>
                <a:schemeClr val="accent5"/>
              </a:solidFill>
              <a:round/>
            </a:ln>
            <a:effectLst/>
          </c:spPr>
          <c:marker>
            <c:symbol val="star"/>
            <c:size val="6"/>
            <c:spPr>
              <a:noFill/>
              <a:ln w="9525">
                <a:solidFill>
                  <a:schemeClr val="accent5"/>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Sheet2!$A$5:$A$7</c:f>
              <c:strCache>
                <c:ptCount val="3"/>
                <c:pt idx="0">
                  <c:v> June'23</c:v>
                </c:pt>
                <c:pt idx="1">
                  <c:v> Jul'23</c:v>
                </c:pt>
                <c:pt idx="2">
                  <c:v> Aug'23</c:v>
                </c:pt>
              </c:strCache>
            </c:strRef>
          </c:cat>
          <c:val>
            <c:numRef>
              <c:f>Sheet2!$F$5:$F$7</c:f>
              <c:numCache>
                <c:formatCode>General</c:formatCode>
                <c:ptCount val="3"/>
                <c:pt idx="0">
                  <c:v>6</c:v>
                </c:pt>
                <c:pt idx="1">
                  <c:v>3</c:v>
                </c:pt>
                <c:pt idx="2">
                  <c:v>4</c:v>
                </c:pt>
              </c:numCache>
            </c:numRef>
          </c:val>
          <c:smooth val="0"/>
          <c:extLst>
            <c:ext xmlns:c16="http://schemas.microsoft.com/office/drawing/2014/chart" uri="{C3380CC4-5D6E-409C-BE32-E72D297353CC}">
              <c16:uniqueId val="{00000004-BB58-4316-824D-1AD7AE87DF12}"/>
            </c:ext>
          </c:extLst>
        </c:ser>
        <c:ser>
          <c:idx val="5"/>
          <c:order val="5"/>
          <c:tx>
            <c:strRef>
              <c:f>Sheet2!$G$3:$G$4</c:f>
              <c:strCache>
                <c:ptCount val="1"/>
                <c:pt idx="0">
                  <c:v>AS-Mayank Aggarwal</c:v>
                </c:pt>
              </c:strCache>
            </c:strRef>
          </c:tx>
          <c:spPr>
            <a:ln w="22225" cap="rnd">
              <a:solidFill>
                <a:schemeClr val="accent6"/>
              </a:solidFill>
              <a:round/>
            </a:ln>
            <a:effectLst/>
          </c:spPr>
          <c:marker>
            <c:symbol val="circle"/>
            <c:size val="6"/>
            <c:spPr>
              <a:solidFill>
                <a:schemeClr val="accent6"/>
              </a:solidFill>
              <a:ln w="9525">
                <a:solidFill>
                  <a:schemeClr val="accent6"/>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Sheet2!$A$5:$A$7</c:f>
              <c:strCache>
                <c:ptCount val="3"/>
                <c:pt idx="0">
                  <c:v> June'23</c:v>
                </c:pt>
                <c:pt idx="1">
                  <c:v> Jul'23</c:v>
                </c:pt>
                <c:pt idx="2">
                  <c:v> Aug'23</c:v>
                </c:pt>
              </c:strCache>
            </c:strRef>
          </c:cat>
          <c:val>
            <c:numRef>
              <c:f>Sheet2!$G$5:$G$7</c:f>
              <c:numCache>
                <c:formatCode>General</c:formatCode>
                <c:ptCount val="3"/>
                <c:pt idx="0">
                  <c:v>44</c:v>
                </c:pt>
                <c:pt idx="1">
                  <c:v>30</c:v>
                </c:pt>
                <c:pt idx="2">
                  <c:v>20</c:v>
                </c:pt>
              </c:numCache>
            </c:numRef>
          </c:val>
          <c:smooth val="0"/>
          <c:extLst>
            <c:ext xmlns:c16="http://schemas.microsoft.com/office/drawing/2014/chart" uri="{C3380CC4-5D6E-409C-BE32-E72D297353CC}">
              <c16:uniqueId val="{00000005-BB58-4316-824D-1AD7AE87DF12}"/>
            </c:ext>
          </c:extLst>
        </c:ser>
        <c:ser>
          <c:idx val="6"/>
          <c:order val="6"/>
          <c:tx>
            <c:strRef>
              <c:f>Sheet2!$H$3:$H$4</c:f>
              <c:strCache>
                <c:ptCount val="1"/>
                <c:pt idx="0">
                  <c:v>AS-Pranjal Khattri</c:v>
                </c:pt>
              </c:strCache>
            </c:strRef>
          </c:tx>
          <c:spPr>
            <a:ln w="22225" cap="rnd">
              <a:solidFill>
                <a:schemeClr val="accent1">
                  <a:lumMod val="60000"/>
                </a:schemeClr>
              </a:solidFill>
              <a:round/>
            </a:ln>
            <a:effectLst/>
          </c:spPr>
          <c:marker>
            <c:symbol val="plus"/>
            <c:size val="6"/>
            <c:spPr>
              <a:noFill/>
              <a:ln w="9525">
                <a:solidFill>
                  <a:schemeClr val="accent1">
                    <a:lumMod val="60000"/>
                  </a:schemeClr>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Sheet2!$A$5:$A$7</c:f>
              <c:strCache>
                <c:ptCount val="3"/>
                <c:pt idx="0">
                  <c:v> June'23</c:v>
                </c:pt>
                <c:pt idx="1">
                  <c:v> Jul'23</c:v>
                </c:pt>
                <c:pt idx="2">
                  <c:v> Aug'23</c:v>
                </c:pt>
              </c:strCache>
            </c:strRef>
          </c:cat>
          <c:val>
            <c:numRef>
              <c:f>Sheet2!$H$5:$H$7</c:f>
              <c:numCache>
                <c:formatCode>General</c:formatCode>
                <c:ptCount val="3"/>
                <c:pt idx="0">
                  <c:v>3</c:v>
                </c:pt>
                <c:pt idx="1">
                  <c:v>5</c:v>
                </c:pt>
                <c:pt idx="2">
                  <c:v>4</c:v>
                </c:pt>
              </c:numCache>
            </c:numRef>
          </c:val>
          <c:smooth val="0"/>
          <c:extLst>
            <c:ext xmlns:c16="http://schemas.microsoft.com/office/drawing/2014/chart" uri="{C3380CC4-5D6E-409C-BE32-E72D297353CC}">
              <c16:uniqueId val="{00000006-BB58-4316-824D-1AD7AE87DF12}"/>
            </c:ext>
          </c:extLst>
        </c:ser>
        <c:ser>
          <c:idx val="7"/>
          <c:order val="7"/>
          <c:tx>
            <c:strRef>
              <c:f>Sheet2!$I$3:$I$4</c:f>
              <c:strCache>
                <c:ptCount val="1"/>
                <c:pt idx="0">
                  <c:v>AS-Prateek Kapoor</c:v>
                </c:pt>
              </c:strCache>
            </c:strRef>
          </c:tx>
          <c:spPr>
            <a:ln w="22225" cap="rnd">
              <a:solidFill>
                <a:schemeClr val="accent2">
                  <a:lumMod val="60000"/>
                </a:schemeClr>
              </a:solidFill>
              <a:round/>
            </a:ln>
            <a:effectLst/>
          </c:spPr>
          <c:marker>
            <c:symbol val="dot"/>
            <c:size val="6"/>
            <c:spPr>
              <a:solidFill>
                <a:schemeClr val="accent2">
                  <a:lumMod val="60000"/>
                </a:schemeClr>
              </a:solidFill>
              <a:ln w="9525">
                <a:solidFill>
                  <a:schemeClr val="accent2">
                    <a:lumMod val="60000"/>
                  </a:schemeClr>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Sheet2!$A$5:$A$7</c:f>
              <c:strCache>
                <c:ptCount val="3"/>
                <c:pt idx="0">
                  <c:v> June'23</c:v>
                </c:pt>
                <c:pt idx="1">
                  <c:v> Jul'23</c:v>
                </c:pt>
                <c:pt idx="2">
                  <c:v> Aug'23</c:v>
                </c:pt>
              </c:strCache>
            </c:strRef>
          </c:cat>
          <c:val>
            <c:numRef>
              <c:f>Sheet2!$I$5:$I$7</c:f>
              <c:numCache>
                <c:formatCode>General</c:formatCode>
                <c:ptCount val="3"/>
                <c:pt idx="0">
                  <c:v>2</c:v>
                </c:pt>
                <c:pt idx="1">
                  <c:v>4</c:v>
                </c:pt>
                <c:pt idx="2">
                  <c:v>4</c:v>
                </c:pt>
              </c:numCache>
            </c:numRef>
          </c:val>
          <c:smooth val="0"/>
          <c:extLst>
            <c:ext xmlns:c16="http://schemas.microsoft.com/office/drawing/2014/chart" uri="{C3380CC4-5D6E-409C-BE32-E72D297353CC}">
              <c16:uniqueId val="{00000007-BB58-4316-824D-1AD7AE87DF12}"/>
            </c:ext>
          </c:extLst>
        </c:ser>
        <c:ser>
          <c:idx val="8"/>
          <c:order val="8"/>
          <c:tx>
            <c:strRef>
              <c:f>Sheet2!$J$3:$J$4</c:f>
              <c:strCache>
                <c:ptCount val="1"/>
                <c:pt idx="0">
                  <c:v>AS-Tanmay Dasgupta</c:v>
                </c:pt>
              </c:strCache>
            </c:strRef>
          </c:tx>
          <c:spPr>
            <a:ln w="22225" cap="rnd">
              <a:solidFill>
                <a:schemeClr val="accent3">
                  <a:lumMod val="60000"/>
                </a:schemeClr>
              </a:solidFill>
              <a:round/>
            </a:ln>
            <a:effectLst/>
          </c:spPr>
          <c:marker>
            <c:symbol val="dash"/>
            <c:size val="6"/>
            <c:spPr>
              <a:solidFill>
                <a:schemeClr val="accent3">
                  <a:lumMod val="60000"/>
                </a:schemeClr>
              </a:solidFill>
              <a:ln w="9525">
                <a:solidFill>
                  <a:schemeClr val="accent3">
                    <a:lumMod val="60000"/>
                  </a:schemeClr>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Sheet2!$A$5:$A$7</c:f>
              <c:strCache>
                <c:ptCount val="3"/>
                <c:pt idx="0">
                  <c:v> June'23</c:v>
                </c:pt>
                <c:pt idx="1">
                  <c:v> Jul'23</c:v>
                </c:pt>
                <c:pt idx="2">
                  <c:v> Aug'23</c:v>
                </c:pt>
              </c:strCache>
            </c:strRef>
          </c:cat>
          <c:val>
            <c:numRef>
              <c:f>Sheet2!$J$5:$J$7</c:f>
              <c:numCache>
                <c:formatCode>General</c:formatCode>
                <c:ptCount val="3"/>
                <c:pt idx="0">
                  <c:v>2</c:v>
                </c:pt>
                <c:pt idx="1">
                  <c:v>1</c:v>
                </c:pt>
                <c:pt idx="2">
                  <c:v>1</c:v>
                </c:pt>
              </c:numCache>
            </c:numRef>
          </c:val>
          <c:smooth val="0"/>
          <c:extLst>
            <c:ext xmlns:c16="http://schemas.microsoft.com/office/drawing/2014/chart" uri="{C3380CC4-5D6E-409C-BE32-E72D297353CC}">
              <c16:uniqueId val="{00000008-BB58-4316-824D-1AD7AE87DF12}"/>
            </c:ext>
          </c:extLst>
        </c:ser>
        <c:ser>
          <c:idx val="9"/>
          <c:order val="9"/>
          <c:tx>
            <c:strRef>
              <c:f>Sheet2!$K$3:$K$4</c:f>
              <c:strCache>
                <c:ptCount val="1"/>
                <c:pt idx="0">
                  <c:v>Gaurav Seth</c:v>
                </c:pt>
              </c:strCache>
            </c:strRef>
          </c:tx>
          <c:spPr>
            <a:ln w="22225" cap="rnd">
              <a:solidFill>
                <a:schemeClr val="accent4">
                  <a:lumMod val="60000"/>
                </a:schemeClr>
              </a:solidFill>
              <a:round/>
            </a:ln>
            <a:effectLst/>
          </c:spPr>
          <c:marker>
            <c:symbol val="diamond"/>
            <c:size val="6"/>
            <c:spPr>
              <a:solidFill>
                <a:schemeClr val="accent4">
                  <a:lumMod val="60000"/>
                </a:schemeClr>
              </a:solidFill>
              <a:ln w="9525">
                <a:solidFill>
                  <a:schemeClr val="accent4">
                    <a:lumMod val="60000"/>
                  </a:schemeClr>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Sheet2!$A$5:$A$7</c:f>
              <c:strCache>
                <c:ptCount val="3"/>
                <c:pt idx="0">
                  <c:v> June'23</c:v>
                </c:pt>
                <c:pt idx="1">
                  <c:v> Jul'23</c:v>
                </c:pt>
                <c:pt idx="2">
                  <c:v> Aug'23</c:v>
                </c:pt>
              </c:strCache>
            </c:strRef>
          </c:cat>
          <c:val>
            <c:numRef>
              <c:f>Sheet2!$K$5:$K$7</c:f>
              <c:numCache>
                <c:formatCode>General</c:formatCode>
                <c:ptCount val="3"/>
                <c:pt idx="0">
                  <c:v>17</c:v>
                </c:pt>
                <c:pt idx="1">
                  <c:v>21</c:v>
                </c:pt>
                <c:pt idx="2">
                  <c:v>49</c:v>
                </c:pt>
              </c:numCache>
            </c:numRef>
          </c:val>
          <c:smooth val="0"/>
          <c:extLst>
            <c:ext xmlns:c16="http://schemas.microsoft.com/office/drawing/2014/chart" uri="{C3380CC4-5D6E-409C-BE32-E72D297353CC}">
              <c16:uniqueId val="{00000009-BB58-4316-824D-1AD7AE87DF12}"/>
            </c:ext>
          </c:extLst>
        </c:ser>
        <c:ser>
          <c:idx val="10"/>
          <c:order val="10"/>
          <c:tx>
            <c:strRef>
              <c:f>Sheet2!$L$3:$L$4</c:f>
              <c:strCache>
                <c:ptCount val="1"/>
                <c:pt idx="0">
                  <c:v>Harsh Goel</c:v>
                </c:pt>
              </c:strCache>
            </c:strRef>
          </c:tx>
          <c:spPr>
            <a:ln w="22225" cap="rnd">
              <a:solidFill>
                <a:schemeClr val="accent5">
                  <a:lumMod val="60000"/>
                </a:schemeClr>
              </a:solidFill>
              <a:round/>
            </a:ln>
            <a:effectLst/>
          </c:spPr>
          <c:marker>
            <c:symbol val="square"/>
            <c:size val="6"/>
            <c:spPr>
              <a:solidFill>
                <a:schemeClr val="accent5">
                  <a:lumMod val="60000"/>
                </a:schemeClr>
              </a:solidFill>
              <a:ln w="9525">
                <a:solidFill>
                  <a:schemeClr val="accent5">
                    <a:lumMod val="60000"/>
                  </a:schemeClr>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Sheet2!$A$5:$A$7</c:f>
              <c:strCache>
                <c:ptCount val="3"/>
                <c:pt idx="0">
                  <c:v> June'23</c:v>
                </c:pt>
                <c:pt idx="1">
                  <c:v> Jul'23</c:v>
                </c:pt>
                <c:pt idx="2">
                  <c:v> Aug'23</c:v>
                </c:pt>
              </c:strCache>
            </c:strRef>
          </c:cat>
          <c:val>
            <c:numRef>
              <c:f>Sheet2!$L$5:$L$7</c:f>
              <c:numCache>
                <c:formatCode>General</c:formatCode>
                <c:ptCount val="3"/>
                <c:pt idx="0">
                  <c:v>1</c:v>
                </c:pt>
                <c:pt idx="1">
                  <c:v>5</c:v>
                </c:pt>
                <c:pt idx="2">
                  <c:v>10</c:v>
                </c:pt>
              </c:numCache>
            </c:numRef>
          </c:val>
          <c:smooth val="0"/>
          <c:extLst>
            <c:ext xmlns:c16="http://schemas.microsoft.com/office/drawing/2014/chart" uri="{C3380CC4-5D6E-409C-BE32-E72D297353CC}">
              <c16:uniqueId val="{0000000A-BB58-4316-824D-1AD7AE87DF12}"/>
            </c:ext>
          </c:extLst>
        </c:ser>
        <c:ser>
          <c:idx val="11"/>
          <c:order val="11"/>
          <c:tx>
            <c:strRef>
              <c:f>Sheet2!$M$3:$M$4</c:f>
              <c:strCache>
                <c:ptCount val="1"/>
                <c:pt idx="0">
                  <c:v>Manish Patel</c:v>
                </c:pt>
              </c:strCache>
            </c:strRef>
          </c:tx>
          <c:spPr>
            <a:ln w="22225" cap="rnd">
              <a:solidFill>
                <a:schemeClr val="accent6">
                  <a:lumMod val="60000"/>
                </a:schemeClr>
              </a:solidFill>
              <a:round/>
            </a:ln>
            <a:effectLst/>
          </c:spPr>
          <c:marker>
            <c:symbol val="triangle"/>
            <c:size val="6"/>
            <c:spPr>
              <a:solidFill>
                <a:schemeClr val="accent6">
                  <a:lumMod val="60000"/>
                </a:schemeClr>
              </a:solidFill>
              <a:ln w="9525">
                <a:solidFill>
                  <a:schemeClr val="accent6">
                    <a:lumMod val="60000"/>
                  </a:schemeClr>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Sheet2!$A$5:$A$7</c:f>
              <c:strCache>
                <c:ptCount val="3"/>
                <c:pt idx="0">
                  <c:v> June'23</c:v>
                </c:pt>
                <c:pt idx="1">
                  <c:v> Jul'23</c:v>
                </c:pt>
                <c:pt idx="2">
                  <c:v> Aug'23</c:v>
                </c:pt>
              </c:strCache>
            </c:strRef>
          </c:cat>
          <c:val>
            <c:numRef>
              <c:f>Sheet2!$M$5:$M$7</c:f>
              <c:numCache>
                <c:formatCode>General</c:formatCode>
                <c:ptCount val="3"/>
                <c:pt idx="0">
                  <c:v>15</c:v>
                </c:pt>
                <c:pt idx="1">
                  <c:v>17</c:v>
                </c:pt>
                <c:pt idx="2">
                  <c:v>8</c:v>
                </c:pt>
              </c:numCache>
            </c:numRef>
          </c:val>
          <c:smooth val="0"/>
          <c:extLst>
            <c:ext xmlns:c16="http://schemas.microsoft.com/office/drawing/2014/chart" uri="{C3380CC4-5D6E-409C-BE32-E72D297353CC}">
              <c16:uniqueId val="{0000000B-BB58-4316-824D-1AD7AE87DF12}"/>
            </c:ext>
          </c:extLst>
        </c:ser>
        <c:ser>
          <c:idx val="12"/>
          <c:order val="12"/>
          <c:tx>
            <c:strRef>
              <c:f>Sheet2!$N$3:$N$4</c:f>
              <c:strCache>
                <c:ptCount val="1"/>
                <c:pt idx="0">
                  <c:v>Roohi Jain</c:v>
                </c:pt>
              </c:strCache>
            </c:strRef>
          </c:tx>
          <c:spPr>
            <a:ln w="22225" cap="rnd">
              <a:solidFill>
                <a:schemeClr val="accent1">
                  <a:lumMod val="80000"/>
                  <a:lumOff val="20000"/>
                </a:schemeClr>
              </a:solidFill>
              <a:round/>
            </a:ln>
            <a:effectLst/>
          </c:spPr>
          <c:marker>
            <c:symbol val="x"/>
            <c:size val="6"/>
            <c:spPr>
              <a:noFill/>
              <a:ln w="9525">
                <a:solidFill>
                  <a:schemeClr val="accent1">
                    <a:lumMod val="80000"/>
                    <a:lumOff val="20000"/>
                  </a:schemeClr>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Sheet2!$A$5:$A$7</c:f>
              <c:strCache>
                <c:ptCount val="3"/>
                <c:pt idx="0">
                  <c:v> June'23</c:v>
                </c:pt>
                <c:pt idx="1">
                  <c:v> Jul'23</c:v>
                </c:pt>
                <c:pt idx="2">
                  <c:v> Aug'23</c:v>
                </c:pt>
              </c:strCache>
            </c:strRef>
          </c:cat>
          <c:val>
            <c:numRef>
              <c:f>Sheet2!$N$5:$N$7</c:f>
              <c:numCache>
                <c:formatCode>General</c:formatCode>
                <c:ptCount val="3"/>
                <c:pt idx="0">
                  <c:v>2</c:v>
                </c:pt>
                <c:pt idx="1">
                  <c:v>2</c:v>
                </c:pt>
                <c:pt idx="2">
                  <c:v>6</c:v>
                </c:pt>
              </c:numCache>
            </c:numRef>
          </c:val>
          <c:smooth val="0"/>
          <c:extLst>
            <c:ext xmlns:c16="http://schemas.microsoft.com/office/drawing/2014/chart" uri="{C3380CC4-5D6E-409C-BE32-E72D297353CC}">
              <c16:uniqueId val="{0000000C-BB58-4316-824D-1AD7AE87DF12}"/>
            </c:ext>
          </c:extLst>
        </c:ser>
        <c:ser>
          <c:idx val="13"/>
          <c:order val="13"/>
          <c:tx>
            <c:strRef>
              <c:f>Sheet2!$O$3:$O$4</c:f>
              <c:strCache>
                <c:ptCount val="1"/>
                <c:pt idx="0">
                  <c:v>Sahil Ahuja</c:v>
                </c:pt>
              </c:strCache>
            </c:strRef>
          </c:tx>
          <c:spPr>
            <a:ln w="22225" cap="rnd">
              <a:solidFill>
                <a:schemeClr val="accent2">
                  <a:lumMod val="80000"/>
                  <a:lumOff val="20000"/>
                </a:schemeClr>
              </a:solidFill>
              <a:round/>
            </a:ln>
            <a:effectLst/>
          </c:spPr>
          <c:marker>
            <c:symbol val="star"/>
            <c:size val="6"/>
            <c:spPr>
              <a:noFill/>
              <a:ln w="9525">
                <a:solidFill>
                  <a:schemeClr val="accent2">
                    <a:lumMod val="80000"/>
                    <a:lumOff val="20000"/>
                  </a:schemeClr>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Sheet2!$A$5:$A$7</c:f>
              <c:strCache>
                <c:ptCount val="3"/>
                <c:pt idx="0">
                  <c:v> June'23</c:v>
                </c:pt>
                <c:pt idx="1">
                  <c:v> Jul'23</c:v>
                </c:pt>
                <c:pt idx="2">
                  <c:v> Aug'23</c:v>
                </c:pt>
              </c:strCache>
            </c:strRef>
          </c:cat>
          <c:val>
            <c:numRef>
              <c:f>Sheet2!$O$5:$O$7</c:f>
              <c:numCache>
                <c:formatCode>General</c:formatCode>
                <c:ptCount val="3"/>
                <c:pt idx="0">
                  <c:v>10</c:v>
                </c:pt>
                <c:pt idx="1">
                  <c:v>7</c:v>
                </c:pt>
                <c:pt idx="2">
                  <c:v>10</c:v>
                </c:pt>
              </c:numCache>
            </c:numRef>
          </c:val>
          <c:smooth val="0"/>
          <c:extLst>
            <c:ext xmlns:c16="http://schemas.microsoft.com/office/drawing/2014/chart" uri="{C3380CC4-5D6E-409C-BE32-E72D297353CC}">
              <c16:uniqueId val="{0000000D-BB58-4316-824D-1AD7AE87DF12}"/>
            </c:ext>
          </c:extLst>
        </c:ser>
        <c:ser>
          <c:idx val="14"/>
          <c:order val="14"/>
          <c:tx>
            <c:strRef>
              <c:f>Sheet2!$P$3:$P$4</c:f>
              <c:strCache>
                <c:ptCount val="1"/>
                <c:pt idx="0">
                  <c:v>Samarjeet Thukral</c:v>
                </c:pt>
              </c:strCache>
            </c:strRef>
          </c:tx>
          <c:spPr>
            <a:ln w="22225" cap="rnd">
              <a:solidFill>
                <a:schemeClr val="accent3">
                  <a:lumMod val="80000"/>
                  <a:lumOff val="20000"/>
                </a:schemeClr>
              </a:solidFill>
              <a:round/>
            </a:ln>
            <a:effectLst/>
          </c:spPr>
          <c:marker>
            <c:symbol val="circle"/>
            <c:size val="6"/>
            <c:spPr>
              <a:solidFill>
                <a:schemeClr val="accent3">
                  <a:lumMod val="80000"/>
                  <a:lumOff val="20000"/>
                </a:schemeClr>
              </a:solidFill>
              <a:ln w="9525">
                <a:solidFill>
                  <a:schemeClr val="accent3">
                    <a:lumMod val="80000"/>
                    <a:lumOff val="20000"/>
                  </a:schemeClr>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Sheet2!$A$5:$A$7</c:f>
              <c:strCache>
                <c:ptCount val="3"/>
                <c:pt idx="0">
                  <c:v> June'23</c:v>
                </c:pt>
                <c:pt idx="1">
                  <c:v> Jul'23</c:v>
                </c:pt>
                <c:pt idx="2">
                  <c:v> Aug'23</c:v>
                </c:pt>
              </c:strCache>
            </c:strRef>
          </c:cat>
          <c:val>
            <c:numRef>
              <c:f>Sheet2!$P$5:$P$7</c:f>
              <c:numCache>
                <c:formatCode>General</c:formatCode>
                <c:ptCount val="3"/>
                <c:pt idx="0">
                  <c:v>17</c:v>
                </c:pt>
                <c:pt idx="1">
                  <c:v>13</c:v>
                </c:pt>
                <c:pt idx="2">
                  <c:v>13</c:v>
                </c:pt>
              </c:numCache>
            </c:numRef>
          </c:val>
          <c:smooth val="0"/>
          <c:extLst>
            <c:ext xmlns:c16="http://schemas.microsoft.com/office/drawing/2014/chart" uri="{C3380CC4-5D6E-409C-BE32-E72D297353CC}">
              <c16:uniqueId val="{0000000E-BB58-4316-824D-1AD7AE87DF12}"/>
            </c:ext>
          </c:extLst>
        </c:ser>
        <c:ser>
          <c:idx val="15"/>
          <c:order val="15"/>
          <c:tx>
            <c:strRef>
              <c:f>Sheet2!$Q$3:$Q$4</c:f>
              <c:strCache>
                <c:ptCount val="1"/>
                <c:pt idx="0">
                  <c:v>Shruti Singh</c:v>
                </c:pt>
              </c:strCache>
            </c:strRef>
          </c:tx>
          <c:spPr>
            <a:ln w="22225" cap="rnd">
              <a:solidFill>
                <a:schemeClr val="accent4">
                  <a:lumMod val="80000"/>
                  <a:lumOff val="20000"/>
                </a:schemeClr>
              </a:solidFill>
              <a:round/>
            </a:ln>
            <a:effectLst/>
          </c:spPr>
          <c:marker>
            <c:symbol val="plus"/>
            <c:size val="6"/>
            <c:spPr>
              <a:noFill/>
              <a:ln w="9525">
                <a:solidFill>
                  <a:schemeClr val="accent4">
                    <a:lumMod val="80000"/>
                    <a:lumOff val="20000"/>
                  </a:schemeClr>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Sheet2!$A$5:$A$7</c:f>
              <c:strCache>
                <c:ptCount val="3"/>
                <c:pt idx="0">
                  <c:v> June'23</c:v>
                </c:pt>
                <c:pt idx="1">
                  <c:v> Jul'23</c:v>
                </c:pt>
                <c:pt idx="2">
                  <c:v> Aug'23</c:v>
                </c:pt>
              </c:strCache>
            </c:strRef>
          </c:cat>
          <c:val>
            <c:numRef>
              <c:f>Sheet2!$Q$5:$Q$7</c:f>
              <c:numCache>
                <c:formatCode>General</c:formatCode>
                <c:ptCount val="3"/>
                <c:pt idx="0">
                  <c:v>2</c:v>
                </c:pt>
                <c:pt idx="1">
                  <c:v>4</c:v>
                </c:pt>
                <c:pt idx="2">
                  <c:v>10</c:v>
                </c:pt>
              </c:numCache>
            </c:numRef>
          </c:val>
          <c:smooth val="0"/>
          <c:extLst>
            <c:ext xmlns:c16="http://schemas.microsoft.com/office/drawing/2014/chart" uri="{C3380CC4-5D6E-409C-BE32-E72D297353CC}">
              <c16:uniqueId val="{0000000F-BB58-4316-824D-1AD7AE87DF12}"/>
            </c:ext>
          </c:extLst>
        </c:ser>
        <c:ser>
          <c:idx val="16"/>
          <c:order val="16"/>
          <c:tx>
            <c:strRef>
              <c:f>Sheet2!$R$3:$R$4</c:f>
              <c:strCache>
                <c:ptCount val="1"/>
                <c:pt idx="0">
                  <c:v>Sunil Dhar</c:v>
                </c:pt>
              </c:strCache>
            </c:strRef>
          </c:tx>
          <c:spPr>
            <a:ln w="22225" cap="rnd">
              <a:solidFill>
                <a:schemeClr val="accent5">
                  <a:lumMod val="80000"/>
                  <a:lumOff val="20000"/>
                </a:schemeClr>
              </a:solidFill>
              <a:round/>
            </a:ln>
            <a:effectLst/>
          </c:spPr>
          <c:marker>
            <c:symbol val="dot"/>
            <c:size val="6"/>
            <c:spPr>
              <a:solidFill>
                <a:schemeClr val="accent5">
                  <a:lumMod val="80000"/>
                  <a:lumOff val="20000"/>
                </a:schemeClr>
              </a:solidFill>
              <a:ln w="9525">
                <a:solidFill>
                  <a:schemeClr val="accent5">
                    <a:lumMod val="80000"/>
                    <a:lumOff val="20000"/>
                  </a:schemeClr>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Sheet2!$A$5:$A$7</c:f>
              <c:strCache>
                <c:ptCount val="3"/>
                <c:pt idx="0">
                  <c:v> June'23</c:v>
                </c:pt>
                <c:pt idx="1">
                  <c:v> Jul'23</c:v>
                </c:pt>
                <c:pt idx="2">
                  <c:v> Aug'23</c:v>
                </c:pt>
              </c:strCache>
            </c:strRef>
          </c:cat>
          <c:val>
            <c:numRef>
              <c:f>Sheet2!$R$5:$R$7</c:f>
              <c:numCache>
                <c:formatCode>General</c:formatCode>
                <c:ptCount val="3"/>
                <c:pt idx="0">
                  <c:v>2</c:v>
                </c:pt>
                <c:pt idx="1">
                  <c:v>4</c:v>
                </c:pt>
                <c:pt idx="2">
                  <c:v>7</c:v>
                </c:pt>
              </c:numCache>
            </c:numRef>
          </c:val>
          <c:smooth val="0"/>
          <c:extLst>
            <c:ext xmlns:c16="http://schemas.microsoft.com/office/drawing/2014/chart" uri="{C3380CC4-5D6E-409C-BE32-E72D297353CC}">
              <c16:uniqueId val="{00000010-BB58-4316-824D-1AD7AE87DF12}"/>
            </c:ext>
          </c:extLst>
        </c:ser>
        <c:dLbls>
          <c:dLblPos val="ctr"/>
          <c:showLegendKey val="0"/>
          <c:showVal val="1"/>
          <c:showCatName val="0"/>
          <c:showSerName val="0"/>
          <c:showPercent val="0"/>
          <c:showBubbleSize val="0"/>
        </c:dLbls>
        <c:marker val="1"/>
        <c:smooth val="0"/>
        <c:axId val="1363132655"/>
        <c:axId val="1370130751"/>
      </c:lineChart>
      <c:catAx>
        <c:axId val="136313265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lt1"/>
                </a:solidFill>
                <a:latin typeface="+mn-lt"/>
                <a:ea typeface="+mn-ea"/>
                <a:cs typeface="+mn-cs"/>
              </a:defRPr>
            </a:pPr>
            <a:endParaRPr lang="en-US"/>
          </a:p>
        </c:txPr>
        <c:crossAx val="1370130751"/>
        <c:crosses val="autoZero"/>
        <c:auto val="1"/>
        <c:lblAlgn val="ctr"/>
        <c:lblOffset val="100"/>
        <c:noMultiLvlLbl val="0"/>
      </c:catAx>
      <c:valAx>
        <c:axId val="1370130751"/>
        <c:scaling>
          <c:orientation val="minMax"/>
        </c:scaling>
        <c:delete val="0"/>
        <c:axPos val="l"/>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36313265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cap="flat" cmpd="sng" algn="ctr">
      <a:noFill/>
      <a:round/>
    </a:ln>
    <a:effectLst>
      <a:outerShdw blurRad="57150" dist="19050" dir="5400000" algn="ctr" rotWithShape="0">
        <a:srgbClr val="000000">
          <a:alpha val="63000"/>
        </a:srgbClr>
      </a:outerShdw>
    </a:effectLst>
    <a:scene3d>
      <a:camera prst="orthographicFront"/>
      <a:lightRig rig="threePt" dir="t"/>
    </a:scene3d>
    <a:sp3d>
      <a:bevelT w="190500" h="38100"/>
    </a:sp3d>
  </c:spPr>
  <c:txPr>
    <a:bodyPr/>
    <a:lstStyle/>
    <a:p>
      <a:pPr>
        <a:defRPr>
          <a:solidFill>
            <a:schemeClr val="lt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[Manager_or_Division_Wise_Monthly_Recruiters_Productivity_Dashboard.xlsm]Sheet2!PivotTable1</c:name>
    <c:fmtId val="4"/>
  </c:pivotSource>
  <c:chart>
    <c:autoTitleDeleted val="0"/>
    <c:pivotFmts>
      <c:pivotFmt>
        <c:idx val="0"/>
      </c:pivotFmt>
      <c:pivotFmt>
        <c:idx val="1"/>
      </c:pivotFmt>
      <c:pivotFmt>
        <c:idx val="2"/>
      </c:pivotFmt>
      <c:pivotFmt>
        <c:idx val="3"/>
        <c:spPr>
          <a:ln w="19050" cap="flat" cmpd="sng" algn="ctr">
            <a:solidFill>
              <a:schemeClr val="accent5">
                <a:shade val="50000"/>
              </a:schemeClr>
            </a:solidFill>
            <a:prstDash val="solid"/>
            <a:miter lim="800000"/>
          </a:ln>
          <a:effectLst/>
        </c:spPr>
        <c:marker>
          <c:symbol val="x"/>
          <c:size val="6"/>
          <c:spPr>
            <a:solidFill>
              <a:schemeClr val="accent5"/>
            </a:solidFill>
            <a:ln w="19050" cap="flat" cmpd="sng" algn="ctr">
              <a:solidFill>
                <a:schemeClr val="accent5">
                  <a:shade val="50000"/>
                </a:schemeClr>
              </a:solidFill>
              <a:prstDash val="solid"/>
              <a:miter lim="800000"/>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ln w="22225" cap="rnd">
            <a:solidFill>
              <a:schemeClr val="accent1"/>
            </a:solidFill>
            <a:round/>
          </a:ln>
          <a:effectLst/>
        </c:spPr>
        <c:marker>
          <c:symbol val="star"/>
          <c:size val="6"/>
          <c:spPr>
            <a:noFill/>
            <a:ln w="9525">
              <a:solidFill>
                <a:schemeClr val="accent5"/>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ln w="22225" cap="rnd">
            <a:solidFill>
              <a:schemeClr val="accent1"/>
            </a:solidFill>
            <a:round/>
          </a:ln>
          <a:effectLst/>
        </c:spPr>
        <c:marker>
          <c:symbol val="circle"/>
          <c:size val="6"/>
          <c:spPr>
            <a:solidFill>
              <a:schemeClr val="accent6"/>
            </a:solidFill>
            <a:ln w="9525">
              <a:solidFill>
                <a:schemeClr val="accent6"/>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ln w="22225" cap="rnd">
            <a:solidFill>
              <a:schemeClr val="accent1"/>
            </a:solidFill>
            <a:round/>
          </a:ln>
          <a:effectLst/>
        </c:spPr>
        <c:marker>
          <c:symbol val="plus"/>
          <c:size val="6"/>
          <c:spPr>
            <a:noFill/>
            <a:ln w="9525">
              <a:solidFill>
                <a:schemeClr val="accent1">
                  <a:lumMod val="60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ln w="22225" cap="rnd">
            <a:solidFill>
              <a:schemeClr val="accent1"/>
            </a:solidFill>
            <a:round/>
          </a:ln>
          <a:effectLst/>
        </c:spPr>
        <c:marker>
          <c:symbol val="dot"/>
          <c:size val="6"/>
          <c:spPr>
            <a:solidFill>
              <a:schemeClr val="accent2">
                <a:lumMod val="60000"/>
              </a:schemeClr>
            </a:solidFill>
            <a:ln w="9525">
              <a:solidFill>
                <a:schemeClr val="accent2">
                  <a:lumMod val="60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ln w="22225" cap="rnd">
            <a:solidFill>
              <a:schemeClr val="accent1"/>
            </a:solidFill>
            <a:round/>
          </a:ln>
          <a:effectLst/>
        </c:spPr>
        <c:marker>
          <c:symbol val="dash"/>
          <c:size val="6"/>
          <c:spPr>
            <a:solidFill>
              <a:schemeClr val="accent3">
                <a:lumMod val="60000"/>
              </a:schemeClr>
            </a:solidFill>
            <a:ln w="9525">
              <a:solidFill>
                <a:schemeClr val="accent3">
                  <a:lumMod val="60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ln w="22225" cap="rnd">
            <a:solidFill>
              <a:schemeClr val="accent1"/>
            </a:solidFill>
            <a:round/>
          </a:ln>
          <a:effectLst/>
        </c:spPr>
        <c:marker>
          <c:symbol val="diamond"/>
          <c:size val="6"/>
          <c:spPr>
            <a:solidFill>
              <a:schemeClr val="accent4">
                <a:lumMod val="60000"/>
              </a:schemeClr>
            </a:solidFill>
            <a:ln w="9525">
              <a:solidFill>
                <a:schemeClr val="accent4">
                  <a:lumMod val="60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ln w="22225" cap="rnd">
            <a:solidFill>
              <a:schemeClr val="accent1"/>
            </a:solidFill>
            <a:round/>
          </a:ln>
          <a:effectLst/>
        </c:spPr>
        <c:marker>
          <c:symbol val="square"/>
          <c:size val="6"/>
          <c:spPr>
            <a:solidFill>
              <a:schemeClr val="accent5">
                <a:lumMod val="60000"/>
              </a:schemeClr>
            </a:solidFill>
            <a:ln w="9525">
              <a:solidFill>
                <a:schemeClr val="accent5">
                  <a:lumMod val="60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ln w="22225" cap="rnd">
            <a:solidFill>
              <a:schemeClr val="accent1"/>
            </a:solidFill>
            <a:round/>
          </a:ln>
          <a:effectLst/>
        </c:spPr>
        <c:marker>
          <c:symbol val="triangle"/>
          <c:size val="6"/>
          <c:spPr>
            <a:solidFill>
              <a:schemeClr val="accent6">
                <a:lumMod val="60000"/>
              </a:schemeClr>
            </a:solidFill>
            <a:ln w="9525">
              <a:solidFill>
                <a:schemeClr val="accent6">
                  <a:lumMod val="60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ln w="22225" cap="rnd">
            <a:solidFill>
              <a:schemeClr val="accent1"/>
            </a:solidFill>
            <a:round/>
          </a:ln>
          <a:effectLst/>
        </c:spPr>
        <c:marker>
          <c:symbol val="x"/>
          <c:size val="6"/>
          <c:spPr>
            <a:noFill/>
            <a:ln w="9525">
              <a:solidFill>
                <a:schemeClr val="accent1">
                  <a:lumMod val="80000"/>
                  <a:lumOff val="20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ln w="22225" cap="rnd">
            <a:solidFill>
              <a:schemeClr val="accent1"/>
            </a:solidFill>
            <a:round/>
          </a:ln>
          <a:effectLst/>
        </c:spPr>
        <c:marker>
          <c:symbol val="star"/>
          <c:size val="6"/>
          <c:spPr>
            <a:noFill/>
            <a:ln w="9525">
              <a:solidFill>
                <a:schemeClr val="accent2">
                  <a:lumMod val="80000"/>
                  <a:lumOff val="20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pivotFmt>
      <c:pivotFmt>
        <c:idx val="15"/>
        <c:spPr>
          <a:ln w="22225" cap="rnd">
            <a:solidFill>
              <a:schemeClr val="accent1"/>
            </a:solidFill>
            <a:round/>
          </a:ln>
          <a:effectLst/>
        </c:spPr>
        <c:marker>
          <c:symbol val="circle"/>
          <c:size val="6"/>
          <c:spPr>
            <a:solidFill>
              <a:schemeClr val="accent3">
                <a:lumMod val="80000"/>
                <a:lumOff val="20000"/>
              </a:schemeClr>
            </a:solidFill>
            <a:ln w="9525">
              <a:solidFill>
                <a:schemeClr val="accent3">
                  <a:lumMod val="80000"/>
                  <a:lumOff val="20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6"/>
        <c:spPr>
          <a:ln w="22225" cap="rnd">
            <a:solidFill>
              <a:schemeClr val="accent1"/>
            </a:solidFill>
            <a:round/>
          </a:ln>
          <a:effectLst/>
        </c:spPr>
        <c:marker>
          <c:symbol val="plus"/>
          <c:size val="6"/>
          <c:spPr>
            <a:noFill/>
            <a:ln w="9525">
              <a:solidFill>
                <a:schemeClr val="accent4">
                  <a:lumMod val="80000"/>
                  <a:lumOff val="20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7"/>
        <c:spPr>
          <a:ln w="22225" cap="rnd">
            <a:solidFill>
              <a:schemeClr val="accent1"/>
            </a:solidFill>
            <a:round/>
          </a:ln>
          <a:effectLst/>
        </c:spPr>
        <c:marker>
          <c:symbol val="dot"/>
          <c:size val="6"/>
          <c:spPr>
            <a:solidFill>
              <a:schemeClr val="accent5">
                <a:lumMod val="80000"/>
                <a:lumOff val="20000"/>
              </a:schemeClr>
            </a:solidFill>
            <a:ln w="9525">
              <a:solidFill>
                <a:schemeClr val="accent5">
                  <a:lumMod val="80000"/>
                  <a:lumOff val="20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8"/>
        <c:spPr>
          <a:ln w="22225" cap="rnd">
            <a:solidFill>
              <a:schemeClr val="accent1"/>
            </a:solidFill>
            <a:round/>
          </a:ln>
          <a:effectLst/>
        </c:spPr>
        <c:marker>
          <c:symbol val="square"/>
          <c:size val="6"/>
          <c:spPr>
            <a:solidFill>
              <a:schemeClr val="accent2"/>
            </a:solidFill>
            <a:ln w="9525">
              <a:solidFill>
                <a:schemeClr val="accen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9"/>
        <c:spPr>
          <a:ln w="22225" cap="rnd">
            <a:solidFill>
              <a:schemeClr val="accent1"/>
            </a:solidFill>
            <a:round/>
          </a:ln>
          <a:effectLst/>
        </c:spPr>
        <c:marker>
          <c:symbol val="triangle"/>
          <c:size val="6"/>
          <c:spPr>
            <a:solidFill>
              <a:schemeClr val="accent3"/>
            </a:solidFill>
            <a:ln w="9525">
              <a:solidFill>
                <a:schemeClr val="accent3"/>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0"/>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Sheet2!$B$3:$B$4</c:f>
              <c:strCache>
                <c:ptCount val="1"/>
                <c:pt idx="0">
                  <c:v>Abhijeet Kumar Das</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Sheet2!$A$5:$A$7</c:f>
              <c:strCache>
                <c:ptCount val="3"/>
                <c:pt idx="0">
                  <c:v> June'23</c:v>
                </c:pt>
                <c:pt idx="1">
                  <c:v> Jul'23</c:v>
                </c:pt>
                <c:pt idx="2">
                  <c:v> Aug'23</c:v>
                </c:pt>
              </c:strCache>
            </c:strRef>
          </c:cat>
          <c:val>
            <c:numRef>
              <c:f>Sheet2!$B$5:$B$7</c:f>
              <c:numCache>
                <c:formatCode>General</c:formatCode>
                <c:ptCount val="3"/>
                <c:pt idx="0">
                  <c:v>6</c:v>
                </c:pt>
                <c:pt idx="1">
                  <c:v>2</c:v>
                </c:pt>
                <c:pt idx="2">
                  <c:v>2</c:v>
                </c:pt>
              </c:numCache>
            </c:numRef>
          </c:val>
          <c:smooth val="0"/>
          <c:extLst>
            <c:ext xmlns:c16="http://schemas.microsoft.com/office/drawing/2014/chart" uri="{C3380CC4-5D6E-409C-BE32-E72D297353CC}">
              <c16:uniqueId val="{00000000-CB3F-4FF0-B0D8-DB0118A60544}"/>
            </c:ext>
          </c:extLst>
        </c:ser>
        <c:ser>
          <c:idx val="1"/>
          <c:order val="1"/>
          <c:tx>
            <c:strRef>
              <c:f>Sheet2!$C$3:$C$4</c:f>
              <c:strCache>
                <c:ptCount val="1"/>
                <c:pt idx="0">
                  <c:v>Anant Tripathi</c:v>
                </c:pt>
              </c:strCache>
            </c:strRef>
          </c:tx>
          <c:spPr>
            <a:ln w="22225" cap="rnd">
              <a:solidFill>
                <a:schemeClr val="accent2"/>
              </a:solidFill>
              <a:round/>
            </a:ln>
            <a:effectLst/>
          </c:spPr>
          <c:marker>
            <c:symbol val="square"/>
            <c:size val="6"/>
            <c:spPr>
              <a:solidFill>
                <a:schemeClr val="accent2"/>
              </a:solidFill>
              <a:ln w="9525">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Sheet2!$A$5:$A$7</c:f>
              <c:strCache>
                <c:ptCount val="3"/>
                <c:pt idx="0">
                  <c:v> June'23</c:v>
                </c:pt>
                <c:pt idx="1">
                  <c:v> Jul'23</c:v>
                </c:pt>
                <c:pt idx="2">
                  <c:v> Aug'23</c:v>
                </c:pt>
              </c:strCache>
            </c:strRef>
          </c:cat>
          <c:val>
            <c:numRef>
              <c:f>Sheet2!$C$5:$C$7</c:f>
              <c:numCache>
                <c:formatCode>General</c:formatCode>
                <c:ptCount val="3"/>
                <c:pt idx="0">
                  <c:v>3</c:v>
                </c:pt>
                <c:pt idx="1">
                  <c:v>8</c:v>
                </c:pt>
                <c:pt idx="2">
                  <c:v>2</c:v>
                </c:pt>
              </c:numCache>
            </c:numRef>
          </c:val>
          <c:smooth val="0"/>
          <c:extLst>
            <c:ext xmlns:c16="http://schemas.microsoft.com/office/drawing/2014/chart" uri="{C3380CC4-5D6E-409C-BE32-E72D297353CC}">
              <c16:uniqueId val="{00000054-CB3F-4FF0-B0D8-DB0118A60544}"/>
            </c:ext>
          </c:extLst>
        </c:ser>
        <c:ser>
          <c:idx val="2"/>
          <c:order val="2"/>
          <c:tx>
            <c:strRef>
              <c:f>Sheet2!$D$3:$D$4</c:f>
              <c:strCache>
                <c:ptCount val="1"/>
                <c:pt idx="0">
                  <c:v>AS-Direct Clients</c:v>
                </c:pt>
              </c:strCache>
            </c:strRef>
          </c:tx>
          <c:spPr>
            <a:ln w="22225" cap="rnd">
              <a:solidFill>
                <a:schemeClr val="accent3"/>
              </a:solidFill>
              <a:round/>
            </a:ln>
            <a:effectLst/>
          </c:spPr>
          <c:marker>
            <c:symbol val="triangle"/>
            <c:size val="6"/>
            <c:spPr>
              <a:solidFill>
                <a:schemeClr val="accent3"/>
              </a:solidFill>
              <a:ln w="9525">
                <a:solidFill>
                  <a:schemeClr val="accent3"/>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Sheet2!$A$5:$A$7</c:f>
              <c:strCache>
                <c:ptCount val="3"/>
                <c:pt idx="0">
                  <c:v> June'23</c:v>
                </c:pt>
                <c:pt idx="1">
                  <c:v> Jul'23</c:v>
                </c:pt>
                <c:pt idx="2">
                  <c:v> Aug'23</c:v>
                </c:pt>
              </c:strCache>
            </c:strRef>
          </c:cat>
          <c:val>
            <c:numRef>
              <c:f>Sheet2!$D$5:$D$7</c:f>
              <c:numCache>
                <c:formatCode>General</c:formatCode>
                <c:ptCount val="3"/>
                <c:pt idx="0">
                  <c:v>6</c:v>
                </c:pt>
                <c:pt idx="1">
                  <c:v>4</c:v>
                </c:pt>
                <c:pt idx="2">
                  <c:v>13</c:v>
                </c:pt>
              </c:numCache>
            </c:numRef>
          </c:val>
          <c:smooth val="0"/>
          <c:extLst>
            <c:ext xmlns:c16="http://schemas.microsoft.com/office/drawing/2014/chart" uri="{C3380CC4-5D6E-409C-BE32-E72D297353CC}">
              <c16:uniqueId val="{00000055-CB3F-4FF0-B0D8-DB0118A60544}"/>
            </c:ext>
          </c:extLst>
        </c:ser>
        <c:ser>
          <c:idx val="3"/>
          <c:order val="3"/>
          <c:tx>
            <c:strRef>
              <c:f>Sheet2!$E$3:$E$4</c:f>
              <c:strCache>
                <c:ptCount val="1"/>
                <c:pt idx="0">
                  <c:v>AS-Gautam Kumar</c:v>
                </c:pt>
              </c:strCache>
            </c:strRef>
          </c:tx>
          <c:spPr>
            <a:ln w="19050" cap="flat" cmpd="sng" algn="ctr">
              <a:solidFill>
                <a:schemeClr val="accent5">
                  <a:shade val="50000"/>
                </a:schemeClr>
              </a:solidFill>
              <a:prstDash val="solid"/>
              <a:miter lim="800000"/>
            </a:ln>
            <a:effectLst/>
          </c:spPr>
          <c:marker>
            <c:symbol val="x"/>
            <c:size val="6"/>
            <c:spPr>
              <a:solidFill>
                <a:schemeClr val="accent5"/>
              </a:solidFill>
              <a:ln w="19050" cap="flat" cmpd="sng" algn="ctr">
                <a:solidFill>
                  <a:schemeClr val="accent5">
                    <a:shade val="50000"/>
                  </a:schemeClr>
                </a:solidFill>
                <a:prstDash val="solid"/>
                <a:miter lim="800000"/>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Sheet2!$A$5:$A$7</c:f>
              <c:strCache>
                <c:ptCount val="3"/>
                <c:pt idx="0">
                  <c:v> June'23</c:v>
                </c:pt>
                <c:pt idx="1">
                  <c:v> Jul'23</c:v>
                </c:pt>
                <c:pt idx="2">
                  <c:v> Aug'23</c:v>
                </c:pt>
              </c:strCache>
            </c:strRef>
          </c:cat>
          <c:val>
            <c:numRef>
              <c:f>Sheet2!$E$5:$E$7</c:f>
              <c:numCache>
                <c:formatCode>General</c:formatCode>
                <c:ptCount val="3"/>
                <c:pt idx="0">
                  <c:v>2</c:v>
                </c:pt>
                <c:pt idx="1">
                  <c:v>0</c:v>
                </c:pt>
                <c:pt idx="2">
                  <c:v>3</c:v>
                </c:pt>
              </c:numCache>
            </c:numRef>
          </c:val>
          <c:smooth val="0"/>
          <c:extLst>
            <c:ext xmlns:c16="http://schemas.microsoft.com/office/drawing/2014/chart" uri="{C3380CC4-5D6E-409C-BE32-E72D297353CC}">
              <c16:uniqueId val="{00000056-CB3F-4FF0-B0D8-DB0118A60544}"/>
            </c:ext>
          </c:extLst>
        </c:ser>
        <c:ser>
          <c:idx val="4"/>
          <c:order val="4"/>
          <c:tx>
            <c:strRef>
              <c:f>Sheet2!$F$3:$F$4</c:f>
              <c:strCache>
                <c:ptCount val="1"/>
                <c:pt idx="0">
                  <c:v>AS-Himanshu Dayal</c:v>
                </c:pt>
              </c:strCache>
            </c:strRef>
          </c:tx>
          <c:spPr>
            <a:ln w="22225" cap="rnd">
              <a:solidFill>
                <a:schemeClr val="accent5"/>
              </a:solidFill>
              <a:round/>
            </a:ln>
            <a:effectLst/>
          </c:spPr>
          <c:marker>
            <c:symbol val="star"/>
            <c:size val="6"/>
            <c:spPr>
              <a:noFill/>
              <a:ln w="9525">
                <a:solidFill>
                  <a:schemeClr val="accent5"/>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Sheet2!$A$5:$A$7</c:f>
              <c:strCache>
                <c:ptCount val="3"/>
                <c:pt idx="0">
                  <c:v> June'23</c:v>
                </c:pt>
                <c:pt idx="1">
                  <c:v> Jul'23</c:v>
                </c:pt>
                <c:pt idx="2">
                  <c:v> Aug'23</c:v>
                </c:pt>
              </c:strCache>
            </c:strRef>
          </c:cat>
          <c:val>
            <c:numRef>
              <c:f>Sheet2!$F$5:$F$7</c:f>
              <c:numCache>
                <c:formatCode>General</c:formatCode>
                <c:ptCount val="3"/>
                <c:pt idx="0">
                  <c:v>6</c:v>
                </c:pt>
                <c:pt idx="1">
                  <c:v>3</c:v>
                </c:pt>
                <c:pt idx="2">
                  <c:v>4</c:v>
                </c:pt>
              </c:numCache>
            </c:numRef>
          </c:val>
          <c:smooth val="0"/>
          <c:extLst>
            <c:ext xmlns:c16="http://schemas.microsoft.com/office/drawing/2014/chart" uri="{C3380CC4-5D6E-409C-BE32-E72D297353CC}">
              <c16:uniqueId val="{00000057-CB3F-4FF0-B0D8-DB0118A60544}"/>
            </c:ext>
          </c:extLst>
        </c:ser>
        <c:ser>
          <c:idx val="5"/>
          <c:order val="5"/>
          <c:tx>
            <c:strRef>
              <c:f>Sheet2!$G$3:$G$4</c:f>
              <c:strCache>
                <c:ptCount val="1"/>
                <c:pt idx="0">
                  <c:v>AS-Mayank Aggarwal</c:v>
                </c:pt>
              </c:strCache>
            </c:strRef>
          </c:tx>
          <c:spPr>
            <a:ln w="22225" cap="rnd">
              <a:solidFill>
                <a:schemeClr val="accent6"/>
              </a:solidFill>
              <a:round/>
            </a:ln>
            <a:effectLst/>
          </c:spPr>
          <c:marker>
            <c:symbol val="circle"/>
            <c:size val="6"/>
            <c:spPr>
              <a:solidFill>
                <a:schemeClr val="accent6"/>
              </a:solidFill>
              <a:ln w="9525">
                <a:solidFill>
                  <a:schemeClr val="accent6"/>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Sheet2!$A$5:$A$7</c:f>
              <c:strCache>
                <c:ptCount val="3"/>
                <c:pt idx="0">
                  <c:v> June'23</c:v>
                </c:pt>
                <c:pt idx="1">
                  <c:v> Jul'23</c:v>
                </c:pt>
                <c:pt idx="2">
                  <c:v> Aug'23</c:v>
                </c:pt>
              </c:strCache>
            </c:strRef>
          </c:cat>
          <c:val>
            <c:numRef>
              <c:f>Sheet2!$G$5:$G$7</c:f>
              <c:numCache>
                <c:formatCode>General</c:formatCode>
                <c:ptCount val="3"/>
                <c:pt idx="0">
                  <c:v>44</c:v>
                </c:pt>
                <c:pt idx="1">
                  <c:v>30</c:v>
                </c:pt>
                <c:pt idx="2">
                  <c:v>20</c:v>
                </c:pt>
              </c:numCache>
            </c:numRef>
          </c:val>
          <c:smooth val="0"/>
          <c:extLst>
            <c:ext xmlns:c16="http://schemas.microsoft.com/office/drawing/2014/chart" uri="{C3380CC4-5D6E-409C-BE32-E72D297353CC}">
              <c16:uniqueId val="{00000058-CB3F-4FF0-B0D8-DB0118A60544}"/>
            </c:ext>
          </c:extLst>
        </c:ser>
        <c:ser>
          <c:idx val="6"/>
          <c:order val="6"/>
          <c:tx>
            <c:strRef>
              <c:f>Sheet2!$H$3:$H$4</c:f>
              <c:strCache>
                <c:ptCount val="1"/>
                <c:pt idx="0">
                  <c:v>AS-Pranjal Khattri</c:v>
                </c:pt>
              </c:strCache>
            </c:strRef>
          </c:tx>
          <c:spPr>
            <a:ln w="22225" cap="rnd">
              <a:solidFill>
                <a:schemeClr val="accent1">
                  <a:lumMod val="60000"/>
                </a:schemeClr>
              </a:solidFill>
              <a:round/>
            </a:ln>
            <a:effectLst/>
          </c:spPr>
          <c:marker>
            <c:symbol val="plus"/>
            <c:size val="6"/>
            <c:spPr>
              <a:noFill/>
              <a:ln w="9525">
                <a:solidFill>
                  <a:schemeClr val="accent1">
                    <a:lumMod val="60000"/>
                  </a:schemeClr>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Sheet2!$A$5:$A$7</c:f>
              <c:strCache>
                <c:ptCount val="3"/>
                <c:pt idx="0">
                  <c:v> June'23</c:v>
                </c:pt>
                <c:pt idx="1">
                  <c:v> Jul'23</c:v>
                </c:pt>
                <c:pt idx="2">
                  <c:v> Aug'23</c:v>
                </c:pt>
              </c:strCache>
            </c:strRef>
          </c:cat>
          <c:val>
            <c:numRef>
              <c:f>Sheet2!$H$5:$H$7</c:f>
              <c:numCache>
                <c:formatCode>General</c:formatCode>
                <c:ptCount val="3"/>
                <c:pt idx="0">
                  <c:v>3</c:v>
                </c:pt>
                <c:pt idx="1">
                  <c:v>5</c:v>
                </c:pt>
                <c:pt idx="2">
                  <c:v>4</c:v>
                </c:pt>
              </c:numCache>
            </c:numRef>
          </c:val>
          <c:smooth val="0"/>
          <c:extLst>
            <c:ext xmlns:c16="http://schemas.microsoft.com/office/drawing/2014/chart" uri="{C3380CC4-5D6E-409C-BE32-E72D297353CC}">
              <c16:uniqueId val="{00000059-CB3F-4FF0-B0D8-DB0118A60544}"/>
            </c:ext>
          </c:extLst>
        </c:ser>
        <c:ser>
          <c:idx val="7"/>
          <c:order val="7"/>
          <c:tx>
            <c:strRef>
              <c:f>Sheet2!$I$3:$I$4</c:f>
              <c:strCache>
                <c:ptCount val="1"/>
                <c:pt idx="0">
                  <c:v>AS-Prateek Kapoor</c:v>
                </c:pt>
              </c:strCache>
            </c:strRef>
          </c:tx>
          <c:spPr>
            <a:ln w="22225" cap="rnd">
              <a:solidFill>
                <a:schemeClr val="accent2">
                  <a:lumMod val="60000"/>
                </a:schemeClr>
              </a:solidFill>
              <a:round/>
            </a:ln>
            <a:effectLst/>
          </c:spPr>
          <c:marker>
            <c:symbol val="dot"/>
            <c:size val="6"/>
            <c:spPr>
              <a:solidFill>
                <a:schemeClr val="accent2">
                  <a:lumMod val="60000"/>
                </a:schemeClr>
              </a:solidFill>
              <a:ln w="9525">
                <a:solidFill>
                  <a:schemeClr val="accent2">
                    <a:lumMod val="60000"/>
                  </a:schemeClr>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Sheet2!$A$5:$A$7</c:f>
              <c:strCache>
                <c:ptCount val="3"/>
                <c:pt idx="0">
                  <c:v> June'23</c:v>
                </c:pt>
                <c:pt idx="1">
                  <c:v> Jul'23</c:v>
                </c:pt>
                <c:pt idx="2">
                  <c:v> Aug'23</c:v>
                </c:pt>
              </c:strCache>
            </c:strRef>
          </c:cat>
          <c:val>
            <c:numRef>
              <c:f>Sheet2!$I$5:$I$7</c:f>
              <c:numCache>
                <c:formatCode>General</c:formatCode>
                <c:ptCount val="3"/>
                <c:pt idx="0">
                  <c:v>2</c:v>
                </c:pt>
                <c:pt idx="1">
                  <c:v>4</c:v>
                </c:pt>
                <c:pt idx="2">
                  <c:v>4</c:v>
                </c:pt>
              </c:numCache>
            </c:numRef>
          </c:val>
          <c:smooth val="0"/>
          <c:extLst>
            <c:ext xmlns:c16="http://schemas.microsoft.com/office/drawing/2014/chart" uri="{C3380CC4-5D6E-409C-BE32-E72D297353CC}">
              <c16:uniqueId val="{0000005A-CB3F-4FF0-B0D8-DB0118A60544}"/>
            </c:ext>
          </c:extLst>
        </c:ser>
        <c:ser>
          <c:idx val="8"/>
          <c:order val="8"/>
          <c:tx>
            <c:strRef>
              <c:f>Sheet2!$J$3:$J$4</c:f>
              <c:strCache>
                <c:ptCount val="1"/>
                <c:pt idx="0">
                  <c:v>AS-Tanmay Dasgupta</c:v>
                </c:pt>
              </c:strCache>
            </c:strRef>
          </c:tx>
          <c:spPr>
            <a:ln w="22225" cap="rnd">
              <a:solidFill>
                <a:schemeClr val="accent3">
                  <a:lumMod val="60000"/>
                </a:schemeClr>
              </a:solidFill>
              <a:round/>
            </a:ln>
            <a:effectLst/>
          </c:spPr>
          <c:marker>
            <c:symbol val="dash"/>
            <c:size val="6"/>
            <c:spPr>
              <a:solidFill>
                <a:schemeClr val="accent3">
                  <a:lumMod val="60000"/>
                </a:schemeClr>
              </a:solidFill>
              <a:ln w="9525">
                <a:solidFill>
                  <a:schemeClr val="accent3">
                    <a:lumMod val="60000"/>
                  </a:schemeClr>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Sheet2!$A$5:$A$7</c:f>
              <c:strCache>
                <c:ptCount val="3"/>
                <c:pt idx="0">
                  <c:v> June'23</c:v>
                </c:pt>
                <c:pt idx="1">
                  <c:v> Jul'23</c:v>
                </c:pt>
                <c:pt idx="2">
                  <c:v> Aug'23</c:v>
                </c:pt>
              </c:strCache>
            </c:strRef>
          </c:cat>
          <c:val>
            <c:numRef>
              <c:f>Sheet2!$J$5:$J$7</c:f>
              <c:numCache>
                <c:formatCode>General</c:formatCode>
                <c:ptCount val="3"/>
                <c:pt idx="0">
                  <c:v>2</c:v>
                </c:pt>
                <c:pt idx="1">
                  <c:v>1</c:v>
                </c:pt>
                <c:pt idx="2">
                  <c:v>1</c:v>
                </c:pt>
              </c:numCache>
            </c:numRef>
          </c:val>
          <c:smooth val="0"/>
          <c:extLst>
            <c:ext xmlns:c16="http://schemas.microsoft.com/office/drawing/2014/chart" uri="{C3380CC4-5D6E-409C-BE32-E72D297353CC}">
              <c16:uniqueId val="{0000005B-CB3F-4FF0-B0D8-DB0118A60544}"/>
            </c:ext>
          </c:extLst>
        </c:ser>
        <c:ser>
          <c:idx val="9"/>
          <c:order val="9"/>
          <c:tx>
            <c:strRef>
              <c:f>Sheet2!$K$3:$K$4</c:f>
              <c:strCache>
                <c:ptCount val="1"/>
                <c:pt idx="0">
                  <c:v>Gaurav Seth</c:v>
                </c:pt>
              </c:strCache>
            </c:strRef>
          </c:tx>
          <c:spPr>
            <a:ln w="22225" cap="rnd">
              <a:solidFill>
                <a:schemeClr val="accent4">
                  <a:lumMod val="60000"/>
                </a:schemeClr>
              </a:solidFill>
              <a:round/>
            </a:ln>
            <a:effectLst/>
          </c:spPr>
          <c:marker>
            <c:symbol val="diamond"/>
            <c:size val="6"/>
            <c:spPr>
              <a:solidFill>
                <a:schemeClr val="accent4">
                  <a:lumMod val="60000"/>
                </a:schemeClr>
              </a:solidFill>
              <a:ln w="9525">
                <a:solidFill>
                  <a:schemeClr val="accent4">
                    <a:lumMod val="60000"/>
                  </a:schemeClr>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Sheet2!$A$5:$A$7</c:f>
              <c:strCache>
                <c:ptCount val="3"/>
                <c:pt idx="0">
                  <c:v> June'23</c:v>
                </c:pt>
                <c:pt idx="1">
                  <c:v> Jul'23</c:v>
                </c:pt>
                <c:pt idx="2">
                  <c:v> Aug'23</c:v>
                </c:pt>
              </c:strCache>
            </c:strRef>
          </c:cat>
          <c:val>
            <c:numRef>
              <c:f>Sheet2!$K$5:$K$7</c:f>
              <c:numCache>
                <c:formatCode>General</c:formatCode>
                <c:ptCount val="3"/>
                <c:pt idx="0">
                  <c:v>17</c:v>
                </c:pt>
                <c:pt idx="1">
                  <c:v>21</c:v>
                </c:pt>
                <c:pt idx="2">
                  <c:v>49</c:v>
                </c:pt>
              </c:numCache>
            </c:numRef>
          </c:val>
          <c:smooth val="0"/>
          <c:extLst>
            <c:ext xmlns:c16="http://schemas.microsoft.com/office/drawing/2014/chart" uri="{C3380CC4-5D6E-409C-BE32-E72D297353CC}">
              <c16:uniqueId val="{0000005C-CB3F-4FF0-B0D8-DB0118A60544}"/>
            </c:ext>
          </c:extLst>
        </c:ser>
        <c:ser>
          <c:idx val="10"/>
          <c:order val="10"/>
          <c:tx>
            <c:strRef>
              <c:f>Sheet2!$L$3:$L$4</c:f>
              <c:strCache>
                <c:ptCount val="1"/>
                <c:pt idx="0">
                  <c:v>Harsh Goel</c:v>
                </c:pt>
              </c:strCache>
            </c:strRef>
          </c:tx>
          <c:spPr>
            <a:ln w="22225" cap="rnd">
              <a:solidFill>
                <a:schemeClr val="accent5">
                  <a:lumMod val="60000"/>
                </a:schemeClr>
              </a:solidFill>
              <a:round/>
            </a:ln>
            <a:effectLst/>
          </c:spPr>
          <c:marker>
            <c:symbol val="square"/>
            <c:size val="6"/>
            <c:spPr>
              <a:solidFill>
                <a:schemeClr val="accent5">
                  <a:lumMod val="60000"/>
                </a:schemeClr>
              </a:solidFill>
              <a:ln w="9525">
                <a:solidFill>
                  <a:schemeClr val="accent5">
                    <a:lumMod val="60000"/>
                  </a:schemeClr>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Sheet2!$A$5:$A$7</c:f>
              <c:strCache>
                <c:ptCount val="3"/>
                <c:pt idx="0">
                  <c:v> June'23</c:v>
                </c:pt>
                <c:pt idx="1">
                  <c:v> Jul'23</c:v>
                </c:pt>
                <c:pt idx="2">
                  <c:v> Aug'23</c:v>
                </c:pt>
              </c:strCache>
            </c:strRef>
          </c:cat>
          <c:val>
            <c:numRef>
              <c:f>Sheet2!$L$5:$L$7</c:f>
              <c:numCache>
                <c:formatCode>General</c:formatCode>
                <c:ptCount val="3"/>
                <c:pt idx="0">
                  <c:v>1</c:v>
                </c:pt>
                <c:pt idx="1">
                  <c:v>5</c:v>
                </c:pt>
                <c:pt idx="2">
                  <c:v>10</c:v>
                </c:pt>
              </c:numCache>
            </c:numRef>
          </c:val>
          <c:smooth val="0"/>
          <c:extLst>
            <c:ext xmlns:c16="http://schemas.microsoft.com/office/drawing/2014/chart" uri="{C3380CC4-5D6E-409C-BE32-E72D297353CC}">
              <c16:uniqueId val="{0000005D-CB3F-4FF0-B0D8-DB0118A60544}"/>
            </c:ext>
          </c:extLst>
        </c:ser>
        <c:ser>
          <c:idx val="11"/>
          <c:order val="11"/>
          <c:tx>
            <c:strRef>
              <c:f>Sheet2!$M$3:$M$4</c:f>
              <c:strCache>
                <c:ptCount val="1"/>
                <c:pt idx="0">
                  <c:v>Manish Patel</c:v>
                </c:pt>
              </c:strCache>
            </c:strRef>
          </c:tx>
          <c:spPr>
            <a:ln w="22225" cap="rnd">
              <a:solidFill>
                <a:schemeClr val="accent6">
                  <a:lumMod val="60000"/>
                </a:schemeClr>
              </a:solidFill>
              <a:round/>
            </a:ln>
            <a:effectLst/>
          </c:spPr>
          <c:marker>
            <c:symbol val="triangle"/>
            <c:size val="6"/>
            <c:spPr>
              <a:solidFill>
                <a:schemeClr val="accent6">
                  <a:lumMod val="60000"/>
                </a:schemeClr>
              </a:solidFill>
              <a:ln w="9525">
                <a:solidFill>
                  <a:schemeClr val="accent6">
                    <a:lumMod val="60000"/>
                  </a:schemeClr>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Sheet2!$A$5:$A$7</c:f>
              <c:strCache>
                <c:ptCount val="3"/>
                <c:pt idx="0">
                  <c:v> June'23</c:v>
                </c:pt>
                <c:pt idx="1">
                  <c:v> Jul'23</c:v>
                </c:pt>
                <c:pt idx="2">
                  <c:v> Aug'23</c:v>
                </c:pt>
              </c:strCache>
            </c:strRef>
          </c:cat>
          <c:val>
            <c:numRef>
              <c:f>Sheet2!$M$5:$M$7</c:f>
              <c:numCache>
                <c:formatCode>General</c:formatCode>
                <c:ptCount val="3"/>
                <c:pt idx="0">
                  <c:v>15</c:v>
                </c:pt>
                <c:pt idx="1">
                  <c:v>17</c:v>
                </c:pt>
                <c:pt idx="2">
                  <c:v>8</c:v>
                </c:pt>
              </c:numCache>
            </c:numRef>
          </c:val>
          <c:smooth val="0"/>
          <c:extLst>
            <c:ext xmlns:c16="http://schemas.microsoft.com/office/drawing/2014/chart" uri="{C3380CC4-5D6E-409C-BE32-E72D297353CC}">
              <c16:uniqueId val="{0000005E-CB3F-4FF0-B0D8-DB0118A60544}"/>
            </c:ext>
          </c:extLst>
        </c:ser>
        <c:ser>
          <c:idx val="12"/>
          <c:order val="12"/>
          <c:tx>
            <c:strRef>
              <c:f>Sheet2!$N$3:$N$4</c:f>
              <c:strCache>
                <c:ptCount val="1"/>
                <c:pt idx="0">
                  <c:v>Roohi Jain</c:v>
                </c:pt>
              </c:strCache>
            </c:strRef>
          </c:tx>
          <c:spPr>
            <a:ln w="22225" cap="rnd">
              <a:solidFill>
                <a:schemeClr val="accent1">
                  <a:lumMod val="80000"/>
                  <a:lumOff val="20000"/>
                </a:schemeClr>
              </a:solidFill>
              <a:round/>
            </a:ln>
            <a:effectLst/>
          </c:spPr>
          <c:marker>
            <c:symbol val="x"/>
            <c:size val="6"/>
            <c:spPr>
              <a:noFill/>
              <a:ln w="9525">
                <a:solidFill>
                  <a:schemeClr val="accent1">
                    <a:lumMod val="80000"/>
                    <a:lumOff val="20000"/>
                  </a:schemeClr>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Sheet2!$A$5:$A$7</c:f>
              <c:strCache>
                <c:ptCount val="3"/>
                <c:pt idx="0">
                  <c:v> June'23</c:v>
                </c:pt>
                <c:pt idx="1">
                  <c:v> Jul'23</c:v>
                </c:pt>
                <c:pt idx="2">
                  <c:v> Aug'23</c:v>
                </c:pt>
              </c:strCache>
            </c:strRef>
          </c:cat>
          <c:val>
            <c:numRef>
              <c:f>Sheet2!$N$5:$N$7</c:f>
              <c:numCache>
                <c:formatCode>General</c:formatCode>
                <c:ptCount val="3"/>
                <c:pt idx="0">
                  <c:v>2</c:v>
                </c:pt>
                <c:pt idx="1">
                  <c:v>2</c:v>
                </c:pt>
                <c:pt idx="2">
                  <c:v>6</c:v>
                </c:pt>
              </c:numCache>
            </c:numRef>
          </c:val>
          <c:smooth val="0"/>
          <c:extLst>
            <c:ext xmlns:c16="http://schemas.microsoft.com/office/drawing/2014/chart" uri="{C3380CC4-5D6E-409C-BE32-E72D297353CC}">
              <c16:uniqueId val="{0000005F-CB3F-4FF0-B0D8-DB0118A60544}"/>
            </c:ext>
          </c:extLst>
        </c:ser>
        <c:ser>
          <c:idx val="13"/>
          <c:order val="13"/>
          <c:tx>
            <c:strRef>
              <c:f>Sheet2!$O$3:$O$4</c:f>
              <c:strCache>
                <c:ptCount val="1"/>
                <c:pt idx="0">
                  <c:v>Sahil Ahuja</c:v>
                </c:pt>
              </c:strCache>
            </c:strRef>
          </c:tx>
          <c:spPr>
            <a:ln w="22225" cap="rnd">
              <a:solidFill>
                <a:schemeClr val="accent2">
                  <a:lumMod val="80000"/>
                  <a:lumOff val="20000"/>
                </a:schemeClr>
              </a:solidFill>
              <a:round/>
            </a:ln>
            <a:effectLst/>
          </c:spPr>
          <c:marker>
            <c:symbol val="star"/>
            <c:size val="6"/>
            <c:spPr>
              <a:noFill/>
              <a:ln w="9525">
                <a:solidFill>
                  <a:schemeClr val="accent2">
                    <a:lumMod val="80000"/>
                    <a:lumOff val="20000"/>
                  </a:schemeClr>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Sheet2!$A$5:$A$7</c:f>
              <c:strCache>
                <c:ptCount val="3"/>
                <c:pt idx="0">
                  <c:v> June'23</c:v>
                </c:pt>
                <c:pt idx="1">
                  <c:v> Jul'23</c:v>
                </c:pt>
                <c:pt idx="2">
                  <c:v> Aug'23</c:v>
                </c:pt>
              </c:strCache>
            </c:strRef>
          </c:cat>
          <c:val>
            <c:numRef>
              <c:f>Sheet2!$O$5:$O$7</c:f>
              <c:numCache>
                <c:formatCode>General</c:formatCode>
                <c:ptCount val="3"/>
                <c:pt idx="0">
                  <c:v>10</c:v>
                </c:pt>
                <c:pt idx="1">
                  <c:v>7</c:v>
                </c:pt>
                <c:pt idx="2">
                  <c:v>10</c:v>
                </c:pt>
              </c:numCache>
            </c:numRef>
          </c:val>
          <c:smooth val="0"/>
          <c:extLst>
            <c:ext xmlns:c16="http://schemas.microsoft.com/office/drawing/2014/chart" uri="{C3380CC4-5D6E-409C-BE32-E72D297353CC}">
              <c16:uniqueId val="{00000060-CB3F-4FF0-B0D8-DB0118A60544}"/>
            </c:ext>
          </c:extLst>
        </c:ser>
        <c:ser>
          <c:idx val="14"/>
          <c:order val="14"/>
          <c:tx>
            <c:strRef>
              <c:f>Sheet2!$P$3:$P$4</c:f>
              <c:strCache>
                <c:ptCount val="1"/>
                <c:pt idx="0">
                  <c:v>Samarjeet Thukral</c:v>
                </c:pt>
              </c:strCache>
            </c:strRef>
          </c:tx>
          <c:spPr>
            <a:ln w="22225" cap="rnd">
              <a:solidFill>
                <a:schemeClr val="accent3">
                  <a:lumMod val="80000"/>
                  <a:lumOff val="20000"/>
                </a:schemeClr>
              </a:solidFill>
              <a:round/>
            </a:ln>
            <a:effectLst/>
          </c:spPr>
          <c:marker>
            <c:symbol val="circle"/>
            <c:size val="6"/>
            <c:spPr>
              <a:solidFill>
                <a:schemeClr val="accent3">
                  <a:lumMod val="80000"/>
                  <a:lumOff val="20000"/>
                </a:schemeClr>
              </a:solidFill>
              <a:ln w="9525">
                <a:solidFill>
                  <a:schemeClr val="accent3">
                    <a:lumMod val="80000"/>
                    <a:lumOff val="20000"/>
                  </a:schemeClr>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Sheet2!$A$5:$A$7</c:f>
              <c:strCache>
                <c:ptCount val="3"/>
                <c:pt idx="0">
                  <c:v> June'23</c:v>
                </c:pt>
                <c:pt idx="1">
                  <c:v> Jul'23</c:v>
                </c:pt>
                <c:pt idx="2">
                  <c:v> Aug'23</c:v>
                </c:pt>
              </c:strCache>
            </c:strRef>
          </c:cat>
          <c:val>
            <c:numRef>
              <c:f>Sheet2!$P$5:$P$7</c:f>
              <c:numCache>
                <c:formatCode>General</c:formatCode>
                <c:ptCount val="3"/>
                <c:pt idx="0">
                  <c:v>17</c:v>
                </c:pt>
                <c:pt idx="1">
                  <c:v>13</c:v>
                </c:pt>
                <c:pt idx="2">
                  <c:v>13</c:v>
                </c:pt>
              </c:numCache>
            </c:numRef>
          </c:val>
          <c:smooth val="0"/>
          <c:extLst>
            <c:ext xmlns:c16="http://schemas.microsoft.com/office/drawing/2014/chart" uri="{C3380CC4-5D6E-409C-BE32-E72D297353CC}">
              <c16:uniqueId val="{00000061-CB3F-4FF0-B0D8-DB0118A60544}"/>
            </c:ext>
          </c:extLst>
        </c:ser>
        <c:ser>
          <c:idx val="15"/>
          <c:order val="15"/>
          <c:tx>
            <c:strRef>
              <c:f>Sheet2!$Q$3:$Q$4</c:f>
              <c:strCache>
                <c:ptCount val="1"/>
                <c:pt idx="0">
                  <c:v>Shruti Singh</c:v>
                </c:pt>
              </c:strCache>
            </c:strRef>
          </c:tx>
          <c:spPr>
            <a:ln w="22225" cap="rnd">
              <a:solidFill>
                <a:schemeClr val="accent4">
                  <a:lumMod val="80000"/>
                  <a:lumOff val="20000"/>
                </a:schemeClr>
              </a:solidFill>
              <a:round/>
            </a:ln>
            <a:effectLst/>
          </c:spPr>
          <c:marker>
            <c:symbol val="plus"/>
            <c:size val="6"/>
            <c:spPr>
              <a:noFill/>
              <a:ln w="9525">
                <a:solidFill>
                  <a:schemeClr val="accent4">
                    <a:lumMod val="80000"/>
                    <a:lumOff val="20000"/>
                  </a:schemeClr>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Sheet2!$A$5:$A$7</c:f>
              <c:strCache>
                <c:ptCount val="3"/>
                <c:pt idx="0">
                  <c:v> June'23</c:v>
                </c:pt>
                <c:pt idx="1">
                  <c:v> Jul'23</c:v>
                </c:pt>
                <c:pt idx="2">
                  <c:v> Aug'23</c:v>
                </c:pt>
              </c:strCache>
            </c:strRef>
          </c:cat>
          <c:val>
            <c:numRef>
              <c:f>Sheet2!$Q$5:$Q$7</c:f>
              <c:numCache>
                <c:formatCode>General</c:formatCode>
                <c:ptCount val="3"/>
                <c:pt idx="0">
                  <c:v>2</c:v>
                </c:pt>
                <c:pt idx="1">
                  <c:v>4</c:v>
                </c:pt>
                <c:pt idx="2">
                  <c:v>10</c:v>
                </c:pt>
              </c:numCache>
            </c:numRef>
          </c:val>
          <c:smooth val="0"/>
          <c:extLst>
            <c:ext xmlns:c16="http://schemas.microsoft.com/office/drawing/2014/chart" uri="{C3380CC4-5D6E-409C-BE32-E72D297353CC}">
              <c16:uniqueId val="{00000062-CB3F-4FF0-B0D8-DB0118A60544}"/>
            </c:ext>
          </c:extLst>
        </c:ser>
        <c:ser>
          <c:idx val="16"/>
          <c:order val="16"/>
          <c:tx>
            <c:strRef>
              <c:f>Sheet2!$R$3:$R$4</c:f>
              <c:strCache>
                <c:ptCount val="1"/>
                <c:pt idx="0">
                  <c:v>Sunil Dhar</c:v>
                </c:pt>
              </c:strCache>
            </c:strRef>
          </c:tx>
          <c:spPr>
            <a:ln w="22225" cap="rnd">
              <a:solidFill>
                <a:schemeClr val="accent5">
                  <a:lumMod val="80000"/>
                  <a:lumOff val="20000"/>
                </a:schemeClr>
              </a:solidFill>
              <a:round/>
            </a:ln>
            <a:effectLst/>
          </c:spPr>
          <c:marker>
            <c:symbol val="dot"/>
            <c:size val="6"/>
            <c:spPr>
              <a:solidFill>
                <a:schemeClr val="accent5">
                  <a:lumMod val="80000"/>
                  <a:lumOff val="20000"/>
                </a:schemeClr>
              </a:solidFill>
              <a:ln w="9525">
                <a:solidFill>
                  <a:schemeClr val="accent5">
                    <a:lumMod val="80000"/>
                    <a:lumOff val="20000"/>
                  </a:schemeClr>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Sheet2!$A$5:$A$7</c:f>
              <c:strCache>
                <c:ptCount val="3"/>
                <c:pt idx="0">
                  <c:v> June'23</c:v>
                </c:pt>
                <c:pt idx="1">
                  <c:v> Jul'23</c:v>
                </c:pt>
                <c:pt idx="2">
                  <c:v> Aug'23</c:v>
                </c:pt>
              </c:strCache>
            </c:strRef>
          </c:cat>
          <c:val>
            <c:numRef>
              <c:f>Sheet2!$R$5:$R$7</c:f>
              <c:numCache>
                <c:formatCode>General</c:formatCode>
                <c:ptCount val="3"/>
                <c:pt idx="0">
                  <c:v>2</c:v>
                </c:pt>
                <c:pt idx="1">
                  <c:v>4</c:v>
                </c:pt>
                <c:pt idx="2">
                  <c:v>7</c:v>
                </c:pt>
              </c:numCache>
            </c:numRef>
          </c:val>
          <c:smooth val="0"/>
          <c:extLst>
            <c:ext xmlns:c16="http://schemas.microsoft.com/office/drawing/2014/chart" uri="{C3380CC4-5D6E-409C-BE32-E72D297353CC}">
              <c16:uniqueId val="{00000063-CB3F-4FF0-B0D8-DB0118A60544}"/>
            </c:ext>
          </c:extLst>
        </c:ser>
        <c:dLbls>
          <c:dLblPos val="ctr"/>
          <c:showLegendKey val="0"/>
          <c:showVal val="1"/>
          <c:showCatName val="0"/>
          <c:showSerName val="0"/>
          <c:showPercent val="0"/>
          <c:showBubbleSize val="0"/>
        </c:dLbls>
        <c:marker val="1"/>
        <c:smooth val="0"/>
        <c:axId val="1363132655"/>
        <c:axId val="1370130751"/>
      </c:lineChart>
      <c:catAx>
        <c:axId val="136313265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lt1"/>
                </a:solidFill>
                <a:latin typeface="+mn-lt"/>
                <a:ea typeface="+mn-ea"/>
                <a:cs typeface="+mn-cs"/>
              </a:defRPr>
            </a:pPr>
            <a:endParaRPr lang="en-US"/>
          </a:p>
        </c:txPr>
        <c:crossAx val="1370130751"/>
        <c:crosses val="autoZero"/>
        <c:auto val="1"/>
        <c:lblAlgn val="ctr"/>
        <c:lblOffset val="100"/>
        <c:noMultiLvlLbl val="0"/>
      </c:catAx>
      <c:valAx>
        <c:axId val="1370130751"/>
        <c:scaling>
          <c:orientation val="minMax"/>
        </c:scaling>
        <c:delete val="0"/>
        <c:axPos val="l"/>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36313265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cap="flat" cmpd="sng" algn="ctr">
      <a:noFill/>
      <a:round/>
    </a:ln>
    <a:effectLst>
      <a:outerShdw blurRad="57150" dist="19050" dir="5400000" algn="ctr" rotWithShape="0">
        <a:srgbClr val="000000">
          <a:alpha val="63000"/>
        </a:srgbClr>
      </a:outerShdw>
    </a:effectLst>
    <a:scene3d>
      <a:camera prst="orthographicFront"/>
      <a:lightRig rig="threePt" dir="t"/>
    </a:scene3d>
    <a:sp3d>
      <a:bevelT w="190500" h="38100"/>
    </a:sp3d>
  </c:spPr>
  <c:txPr>
    <a:bodyPr/>
    <a:lstStyle/>
    <a:p>
      <a:pPr>
        <a:defRPr>
          <a:solidFill>
            <a:schemeClr val="lt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6</xdr:col>
      <xdr:colOff>0</xdr:colOff>
      <xdr:row>7</xdr:row>
      <xdr:rowOff>57150</xdr:rowOff>
    </xdr:from>
    <xdr:to>
      <xdr:col>7</xdr:col>
      <xdr:colOff>0</xdr:colOff>
      <xdr:row>8</xdr:row>
      <xdr:rowOff>180975</xdr:rowOff>
    </xdr:to>
    <xdr:sp macro="[0]!Intsub_R" textlink="">
      <xdr:nvSpPr>
        <xdr:cNvPr id="3" name="Rectangle 2">
          <a:extLst>
            <a:ext uri="{FF2B5EF4-FFF2-40B4-BE49-F238E27FC236}">
              <a16:creationId xmlns:a16="http://schemas.microsoft.com/office/drawing/2014/main" id="{00000000-0008-0000-0200-000003000000}"/>
            </a:ext>
          </a:extLst>
        </xdr:cNvPr>
        <xdr:cNvSpPr/>
      </xdr:nvSpPr>
      <xdr:spPr>
        <a:xfrm>
          <a:off x="4343400" y="1390650"/>
          <a:ext cx="971550" cy="314325"/>
        </a:xfrm>
        <a:prstGeom prst="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ctr"/>
          <a:r>
            <a:rPr lang="en-US" sz="1400" b="1"/>
            <a:t>Internal</a:t>
          </a:r>
        </a:p>
      </xdr:txBody>
    </xdr:sp>
    <xdr:clientData/>
  </xdr:twoCellAnchor>
  <xdr:twoCellAnchor>
    <xdr:from>
      <xdr:col>8</xdr:col>
      <xdr:colOff>9526</xdr:colOff>
      <xdr:row>7</xdr:row>
      <xdr:rowOff>57150</xdr:rowOff>
    </xdr:from>
    <xdr:to>
      <xdr:col>9</xdr:col>
      <xdr:colOff>9526</xdr:colOff>
      <xdr:row>8</xdr:row>
      <xdr:rowOff>180975</xdr:rowOff>
    </xdr:to>
    <xdr:sp macro="[0]!Entv_R" textlink="">
      <xdr:nvSpPr>
        <xdr:cNvPr id="4" name="Rectangle 3">
          <a:extLst>
            <a:ext uri="{FF2B5EF4-FFF2-40B4-BE49-F238E27FC236}">
              <a16:creationId xmlns:a16="http://schemas.microsoft.com/office/drawing/2014/main" id="{00000000-0008-0000-0200-000004000000}"/>
            </a:ext>
          </a:extLst>
        </xdr:cNvPr>
        <xdr:cNvSpPr/>
      </xdr:nvSpPr>
      <xdr:spPr>
        <a:xfrm>
          <a:off x="6172201" y="1390650"/>
          <a:ext cx="933450" cy="314325"/>
        </a:xfrm>
        <a:prstGeom prst="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ctr"/>
          <a:r>
            <a:rPr lang="en-US" sz="1400" b="1"/>
            <a:t>Interview</a:t>
          </a:r>
        </a:p>
      </xdr:txBody>
    </xdr:sp>
    <xdr:clientData/>
  </xdr:twoCellAnchor>
  <xdr:twoCellAnchor>
    <xdr:from>
      <xdr:col>9</xdr:col>
      <xdr:colOff>9525</xdr:colOff>
      <xdr:row>7</xdr:row>
      <xdr:rowOff>57150</xdr:rowOff>
    </xdr:from>
    <xdr:to>
      <xdr:col>9</xdr:col>
      <xdr:colOff>1098176</xdr:colOff>
      <xdr:row>8</xdr:row>
      <xdr:rowOff>180975</xdr:rowOff>
    </xdr:to>
    <xdr:sp macro="[0]!Starts_R" textlink="">
      <xdr:nvSpPr>
        <xdr:cNvPr id="5" name="Rectangle 4">
          <a:extLst>
            <a:ext uri="{FF2B5EF4-FFF2-40B4-BE49-F238E27FC236}">
              <a16:creationId xmlns:a16="http://schemas.microsoft.com/office/drawing/2014/main" id="{00000000-0008-0000-0200-000005000000}"/>
            </a:ext>
          </a:extLst>
        </xdr:cNvPr>
        <xdr:cNvSpPr/>
      </xdr:nvSpPr>
      <xdr:spPr>
        <a:xfrm>
          <a:off x="7831231" y="1364503"/>
          <a:ext cx="1088651" cy="310590"/>
        </a:xfrm>
        <a:prstGeom prst="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ctr"/>
          <a:r>
            <a:rPr lang="en-US" sz="1400" b="1"/>
            <a:t>Hires</a:t>
          </a:r>
        </a:p>
      </xdr:txBody>
    </xdr:sp>
    <xdr:clientData/>
  </xdr:twoCellAnchor>
  <xdr:twoCellAnchor>
    <xdr:from>
      <xdr:col>7</xdr:col>
      <xdr:colOff>0</xdr:colOff>
      <xdr:row>7</xdr:row>
      <xdr:rowOff>57150</xdr:rowOff>
    </xdr:from>
    <xdr:to>
      <xdr:col>8</xdr:col>
      <xdr:colOff>0</xdr:colOff>
      <xdr:row>8</xdr:row>
      <xdr:rowOff>180975</xdr:rowOff>
    </xdr:to>
    <xdr:sp macro="[0]!Extsub_R" textlink="">
      <xdr:nvSpPr>
        <xdr:cNvPr id="6" name="Rectangle 5">
          <a:extLst>
            <a:ext uri="{FF2B5EF4-FFF2-40B4-BE49-F238E27FC236}">
              <a16:creationId xmlns:a16="http://schemas.microsoft.com/office/drawing/2014/main" id="{00000000-0008-0000-0200-000006000000}"/>
            </a:ext>
          </a:extLst>
        </xdr:cNvPr>
        <xdr:cNvSpPr/>
      </xdr:nvSpPr>
      <xdr:spPr>
        <a:xfrm>
          <a:off x="5381625" y="1390650"/>
          <a:ext cx="1009650" cy="314325"/>
        </a:xfrm>
        <a:prstGeom prst="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ctr"/>
          <a:r>
            <a:rPr lang="en-US" sz="1400" b="1"/>
            <a:t>External</a:t>
          </a:r>
        </a:p>
      </xdr:txBody>
    </xdr:sp>
    <xdr:clientData/>
  </xdr:twoCellAnchor>
  <xdr:twoCellAnchor>
    <xdr:from>
      <xdr:col>11</xdr:col>
      <xdr:colOff>0</xdr:colOff>
      <xdr:row>7</xdr:row>
      <xdr:rowOff>57150</xdr:rowOff>
    </xdr:from>
    <xdr:to>
      <xdr:col>12</xdr:col>
      <xdr:colOff>9525</xdr:colOff>
      <xdr:row>8</xdr:row>
      <xdr:rowOff>180975</xdr:rowOff>
    </xdr:to>
    <xdr:sp macro="[0]!SPR_R" textlink="">
      <xdr:nvSpPr>
        <xdr:cNvPr id="7" name="Rectangle 6">
          <a:extLst>
            <a:ext uri="{FF2B5EF4-FFF2-40B4-BE49-F238E27FC236}">
              <a16:creationId xmlns:a16="http://schemas.microsoft.com/office/drawing/2014/main" id="{00000000-0008-0000-0200-000007000000}"/>
            </a:ext>
          </a:extLst>
        </xdr:cNvPr>
        <xdr:cNvSpPr/>
      </xdr:nvSpPr>
      <xdr:spPr>
        <a:xfrm>
          <a:off x="9382125" y="1390650"/>
          <a:ext cx="1028700" cy="314325"/>
        </a:xfrm>
        <a:prstGeom prst="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ctr"/>
          <a:r>
            <a:rPr lang="en-US" sz="1400" b="1"/>
            <a:t>SPR</a:t>
          </a:r>
        </a:p>
      </xdr:txBody>
    </xdr:sp>
    <xdr:clientData/>
  </xdr:twoCellAnchor>
  <xdr:twoCellAnchor>
    <xdr:from>
      <xdr:col>10</xdr:col>
      <xdr:colOff>0</xdr:colOff>
      <xdr:row>7</xdr:row>
      <xdr:rowOff>57150</xdr:rowOff>
    </xdr:from>
    <xdr:to>
      <xdr:col>11</xdr:col>
      <xdr:colOff>0</xdr:colOff>
      <xdr:row>8</xdr:row>
      <xdr:rowOff>180975</xdr:rowOff>
    </xdr:to>
    <xdr:sp macro="[0]!Producty_R" textlink="">
      <xdr:nvSpPr>
        <xdr:cNvPr id="8" name="Rectangle 7">
          <a:extLst>
            <a:ext uri="{FF2B5EF4-FFF2-40B4-BE49-F238E27FC236}">
              <a16:creationId xmlns:a16="http://schemas.microsoft.com/office/drawing/2014/main" id="{00000000-0008-0000-0200-000008000000}"/>
            </a:ext>
          </a:extLst>
        </xdr:cNvPr>
        <xdr:cNvSpPr/>
      </xdr:nvSpPr>
      <xdr:spPr>
        <a:xfrm>
          <a:off x="8153400" y="1390650"/>
          <a:ext cx="1228725" cy="314325"/>
        </a:xfrm>
        <a:prstGeom prst="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ctr"/>
          <a:r>
            <a:rPr lang="en-US" sz="1200" b="1"/>
            <a:t>Productivity</a:t>
          </a:r>
        </a:p>
      </xdr:txBody>
    </xdr:sp>
    <xdr:clientData/>
  </xdr:twoCellAnchor>
  <xdr:twoCellAnchor>
    <xdr:from>
      <xdr:col>12</xdr:col>
      <xdr:colOff>9525</xdr:colOff>
      <xdr:row>7</xdr:row>
      <xdr:rowOff>57150</xdr:rowOff>
    </xdr:from>
    <xdr:to>
      <xdr:col>13</xdr:col>
      <xdr:colOff>0</xdr:colOff>
      <xdr:row>8</xdr:row>
      <xdr:rowOff>180975</xdr:rowOff>
    </xdr:to>
    <xdr:sp macro="[0]!Conv_R" textlink="">
      <xdr:nvSpPr>
        <xdr:cNvPr id="9" name="Rectangle 8">
          <a:extLst>
            <a:ext uri="{FF2B5EF4-FFF2-40B4-BE49-F238E27FC236}">
              <a16:creationId xmlns:a16="http://schemas.microsoft.com/office/drawing/2014/main" id="{00000000-0008-0000-0200-000009000000}"/>
            </a:ext>
          </a:extLst>
        </xdr:cNvPr>
        <xdr:cNvSpPr/>
      </xdr:nvSpPr>
      <xdr:spPr>
        <a:xfrm>
          <a:off x="10410825" y="1390650"/>
          <a:ext cx="971550" cy="314325"/>
        </a:xfrm>
        <a:prstGeom prst="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ctr"/>
          <a:r>
            <a:rPr lang="en-US" sz="1400" b="1"/>
            <a:t>Conv Rate</a:t>
          </a:r>
        </a:p>
      </xdr:txBody>
    </xdr:sp>
    <xdr:clientData/>
  </xdr:twoCellAnchor>
  <xdr:twoCellAnchor>
    <xdr:from>
      <xdr:col>4</xdr:col>
      <xdr:colOff>7844</xdr:colOff>
      <xdr:row>7</xdr:row>
      <xdr:rowOff>61481</xdr:rowOff>
    </xdr:from>
    <xdr:to>
      <xdr:col>4</xdr:col>
      <xdr:colOff>1702921</xdr:colOff>
      <xdr:row>8</xdr:row>
      <xdr:rowOff>180976</xdr:rowOff>
    </xdr:to>
    <xdr:sp macro="[0]!Recruiter" textlink="">
      <xdr:nvSpPr>
        <xdr:cNvPr id="10" name="Rectangle 9">
          <a:extLst>
            <a:ext uri="{FF2B5EF4-FFF2-40B4-BE49-F238E27FC236}">
              <a16:creationId xmlns:a16="http://schemas.microsoft.com/office/drawing/2014/main" id="{00000000-0008-0000-0200-00000A000000}"/>
            </a:ext>
          </a:extLst>
        </xdr:cNvPr>
        <xdr:cNvSpPr/>
      </xdr:nvSpPr>
      <xdr:spPr>
        <a:xfrm>
          <a:off x="1927785" y="1368834"/>
          <a:ext cx="1695077" cy="306260"/>
        </a:xfrm>
        <a:prstGeom prst="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ctr"/>
          <a:r>
            <a:rPr lang="en-US" sz="1400" b="1"/>
            <a:t>Recruiter</a:t>
          </a:r>
        </a:p>
      </xdr:txBody>
    </xdr:sp>
    <xdr:clientData/>
  </xdr:twoCellAnchor>
  <xdr:twoCellAnchor editAs="oneCell">
    <xdr:from>
      <xdr:col>13</xdr:col>
      <xdr:colOff>43517</xdr:colOff>
      <xdr:row>0</xdr:row>
      <xdr:rowOff>83858</xdr:rowOff>
    </xdr:from>
    <xdr:to>
      <xdr:col>15</xdr:col>
      <xdr:colOff>439458</xdr:colOff>
      <xdr:row>32</xdr:row>
      <xdr:rowOff>175372</xdr:rowOff>
    </xdr:to>
    <mc:AlternateContent xmlns:mc="http://schemas.openxmlformats.org/markup-compatibility/2006" xmlns:a14="http://schemas.microsoft.com/office/drawing/2010/main">
      <mc:Choice Requires="a14">
        <xdr:graphicFrame macro="">
          <xdr:nvGraphicFramePr>
            <xdr:cNvPr id="11" name="Team Lead">
              <a:extLst>
                <a:ext uri="{FF2B5EF4-FFF2-40B4-BE49-F238E27FC236}">
                  <a16:creationId xmlns:a16="http://schemas.microsoft.com/office/drawing/2014/main" id="{00000000-0008-0000-0200-00000B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Team Lead"/>
            </a:graphicData>
          </a:graphic>
        </xdr:graphicFrame>
      </mc:Choice>
      <mc:Fallback xmlns="">
        <xdr:sp macro="" textlink="">
          <xdr:nvSpPr>
            <xdr:cNvPr id="0" name=""/>
            <xdr:cNvSpPr>
              <a:spLocks noTextEdit="1"/>
            </xdr:cNvSpPr>
          </xdr:nvSpPr>
          <xdr:spPr>
            <a:xfrm>
              <a:off x="12362517" y="83858"/>
              <a:ext cx="1837765" cy="606798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4</xdr:col>
      <xdr:colOff>9526</xdr:colOff>
      <xdr:row>1</xdr:row>
      <xdr:rowOff>0</xdr:rowOff>
    </xdr:from>
    <xdr:to>
      <xdr:col>12</xdr:col>
      <xdr:colOff>1023470</xdr:colOff>
      <xdr:row>6</xdr:row>
      <xdr:rowOff>164353</xdr:rowOff>
    </xdr:to>
    <xdr:sp macro="" textlink="">
      <xdr:nvSpPr>
        <xdr:cNvPr id="13" name="Rectangle 12">
          <a:extLst>
            <a:ext uri="{FF2B5EF4-FFF2-40B4-BE49-F238E27FC236}">
              <a16:creationId xmlns:a16="http://schemas.microsoft.com/office/drawing/2014/main" id="{00000000-0008-0000-0200-00000D000000}"/>
            </a:ext>
          </a:extLst>
        </xdr:cNvPr>
        <xdr:cNvSpPr>
          <a:spLocks/>
        </xdr:cNvSpPr>
      </xdr:nvSpPr>
      <xdr:spPr>
        <a:xfrm>
          <a:off x="1929467" y="186765"/>
          <a:ext cx="10382062" cy="1098176"/>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en-US" sz="1100"/>
        </a:p>
      </xdr:txBody>
    </xdr:sp>
    <xdr:clientData/>
  </xdr:twoCellAnchor>
  <xdr:twoCellAnchor editAs="absolute">
    <xdr:from>
      <xdr:col>4</xdr:col>
      <xdr:colOff>47623</xdr:colOff>
      <xdr:row>1</xdr:row>
      <xdr:rowOff>29881</xdr:rowOff>
    </xdr:from>
    <xdr:to>
      <xdr:col>12</xdr:col>
      <xdr:colOff>940657</xdr:colOff>
      <xdr:row>6</xdr:row>
      <xdr:rowOff>114239</xdr:rowOff>
    </xdr:to>
    <xdr:grpSp>
      <xdr:nvGrpSpPr>
        <xdr:cNvPr id="14" name="Group 13">
          <a:extLst>
            <a:ext uri="{FF2B5EF4-FFF2-40B4-BE49-F238E27FC236}">
              <a16:creationId xmlns:a16="http://schemas.microsoft.com/office/drawing/2014/main" id="{00000000-0008-0000-0200-00000E000000}"/>
            </a:ext>
          </a:extLst>
        </xdr:cNvPr>
        <xdr:cNvGrpSpPr/>
      </xdr:nvGrpSpPr>
      <xdr:grpSpPr>
        <a:xfrm>
          <a:off x="1967564" y="216646"/>
          <a:ext cx="10261152" cy="1018181"/>
          <a:chOff x="166393" y="755098"/>
          <a:chExt cx="8681289" cy="826909"/>
        </a:xfrm>
      </xdr:grpSpPr>
      <xdr:grpSp>
        <xdr:nvGrpSpPr>
          <xdr:cNvPr id="15" name="Group 14">
            <a:extLst>
              <a:ext uri="{FF2B5EF4-FFF2-40B4-BE49-F238E27FC236}">
                <a16:creationId xmlns:a16="http://schemas.microsoft.com/office/drawing/2014/main" id="{00000000-0008-0000-0200-00000F000000}"/>
              </a:ext>
            </a:extLst>
          </xdr:cNvPr>
          <xdr:cNvGrpSpPr/>
        </xdr:nvGrpSpPr>
        <xdr:grpSpPr>
          <a:xfrm>
            <a:off x="166393" y="755098"/>
            <a:ext cx="1034724" cy="806936"/>
            <a:chOff x="2628900" y="1198728"/>
            <a:chExt cx="1257300" cy="1326357"/>
          </a:xfrm>
        </xdr:grpSpPr>
        <xdr:sp macro="" textlink="">
          <xdr:nvSpPr>
            <xdr:cNvPr id="55" name="Rectangle 54">
              <a:extLst>
                <a:ext uri="{FF2B5EF4-FFF2-40B4-BE49-F238E27FC236}">
                  <a16:creationId xmlns:a16="http://schemas.microsoft.com/office/drawing/2014/main" id="{00000000-0008-0000-0200-000037000000}"/>
                </a:ext>
              </a:extLst>
            </xdr:cNvPr>
            <xdr:cNvSpPr/>
          </xdr:nvSpPr>
          <xdr:spPr>
            <a:xfrm>
              <a:off x="2628900" y="1198728"/>
              <a:ext cx="1257300" cy="1326357"/>
            </a:xfrm>
            <a:prstGeom prst="rect">
              <a:avLst/>
            </a:prstGeom>
            <a:solidFill>
              <a:schemeClr val="accent6">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n-US" sz="1100" b="1">
                <a:ln>
                  <a:solidFill>
                    <a:schemeClr val="tx1"/>
                  </a:solidFill>
                </a:ln>
                <a:solidFill>
                  <a:schemeClr val="tx1"/>
                </a:solidFill>
              </a:endParaRPr>
            </a:p>
          </xdr:txBody>
        </xdr:sp>
        <xdr:sp macro="" textlink="">
          <xdr:nvSpPr>
            <xdr:cNvPr id="53" name="TextBox 52">
              <a:extLst>
                <a:ext uri="{FF2B5EF4-FFF2-40B4-BE49-F238E27FC236}">
                  <a16:creationId xmlns:a16="http://schemas.microsoft.com/office/drawing/2014/main" id="{00000000-0008-0000-0200-000035000000}"/>
                </a:ext>
              </a:extLst>
            </xdr:cNvPr>
            <xdr:cNvSpPr txBox="1"/>
          </xdr:nvSpPr>
          <xdr:spPr>
            <a:xfrm>
              <a:off x="2676932" y="1351669"/>
              <a:ext cx="1161780" cy="415821"/>
            </a:xfrm>
            <a:prstGeom prst="rect">
              <a:avLst/>
            </a:prstGeom>
            <a:solidFill>
              <a:schemeClr val="accent6">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ctr">
              <a:spAutoFit/>
            </a:bodyPr>
            <a:lstStyle/>
            <a:p>
              <a:pPr algn="ctr"/>
              <a:r>
                <a:rPr lang="en-US" sz="1400" b="1">
                  <a:ln>
                    <a:solidFill>
                      <a:schemeClr val="tx1"/>
                    </a:solidFill>
                  </a:ln>
                  <a:solidFill>
                    <a:schemeClr val="tx1"/>
                  </a:solidFill>
                </a:rPr>
                <a:t>Internal</a:t>
              </a:r>
            </a:p>
          </xdr:txBody>
        </xdr:sp>
        <xdr:sp macro="" textlink="'Pivots(Brnch)'!C52">
          <xdr:nvSpPr>
            <xdr:cNvPr id="54" name="TextBox 53">
              <a:extLst>
                <a:ext uri="{FF2B5EF4-FFF2-40B4-BE49-F238E27FC236}">
                  <a16:creationId xmlns:a16="http://schemas.microsoft.com/office/drawing/2014/main" id="{00000000-0008-0000-0200-000036000000}"/>
                </a:ext>
              </a:extLst>
            </xdr:cNvPr>
            <xdr:cNvSpPr txBox="1"/>
          </xdr:nvSpPr>
          <xdr:spPr>
            <a:xfrm>
              <a:off x="2706239" y="1944007"/>
              <a:ext cx="1095374" cy="409338"/>
            </a:xfrm>
            <a:prstGeom prst="rect">
              <a:avLst/>
            </a:prstGeom>
            <a:solidFill>
              <a:schemeClr val="accent6">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ctr">
              <a:noAutofit/>
            </a:bodyPr>
            <a:lstStyle/>
            <a:p>
              <a:pPr marL="0" indent="0" algn="ctr"/>
              <a:fld id="{B61EEA08-3DB6-4B57-ADE7-6B14CDF887EF}" type="TxLink">
                <a:rPr lang="en-US" sz="1800" b="1" i="0" u="none" strike="noStrike" cap="none" spc="0">
                  <a:ln w="6600">
                    <a:solidFill>
                      <a:schemeClr val="accent2"/>
                    </a:solidFill>
                    <a:prstDash val="solid"/>
                  </a:ln>
                  <a:solidFill>
                    <a:srgbClr val="FFFFFF"/>
                  </a:solidFill>
                  <a:effectLst>
                    <a:outerShdw dist="38100" dir="2700000" algn="tl" rotWithShape="0">
                      <a:schemeClr val="accent2"/>
                    </a:outerShdw>
                  </a:effectLst>
                  <a:latin typeface="Calibri"/>
                  <a:ea typeface="+mn-ea"/>
                  <a:cs typeface="+mn-cs"/>
                </a:rPr>
                <a:pPr marL="0" indent="0" algn="ctr"/>
                <a:t>125</a:t>
              </a:fld>
              <a:endParaRPr lang="en-US" sz="1800" b="1" i="0" u="none" strike="noStrike" cap="none" spc="0">
                <a:ln w="6600">
                  <a:solidFill>
                    <a:schemeClr val="accent2"/>
                  </a:solidFill>
                  <a:prstDash val="solid"/>
                </a:ln>
                <a:solidFill>
                  <a:srgbClr val="FFFFFF"/>
                </a:solidFill>
                <a:effectLst>
                  <a:outerShdw dist="38100" dir="2700000" algn="tl" rotWithShape="0">
                    <a:schemeClr val="accent2"/>
                  </a:outerShdw>
                </a:effectLst>
                <a:latin typeface="Calibri"/>
                <a:ea typeface="+mn-ea"/>
                <a:cs typeface="+mn-cs"/>
              </a:endParaRPr>
            </a:p>
          </xdr:txBody>
        </xdr:sp>
      </xdr:grpSp>
      <xdr:grpSp>
        <xdr:nvGrpSpPr>
          <xdr:cNvPr id="16" name="Group 15">
            <a:extLst>
              <a:ext uri="{FF2B5EF4-FFF2-40B4-BE49-F238E27FC236}">
                <a16:creationId xmlns:a16="http://schemas.microsoft.com/office/drawing/2014/main" id="{00000000-0008-0000-0200-000010000000}"/>
              </a:ext>
            </a:extLst>
          </xdr:cNvPr>
          <xdr:cNvGrpSpPr/>
        </xdr:nvGrpSpPr>
        <xdr:grpSpPr>
          <a:xfrm>
            <a:off x="1285568" y="761166"/>
            <a:ext cx="1153010" cy="806936"/>
            <a:chOff x="2601931" y="1195356"/>
            <a:chExt cx="1402144" cy="1326357"/>
          </a:xfrm>
        </xdr:grpSpPr>
        <xdr:sp macro="" textlink="">
          <xdr:nvSpPr>
            <xdr:cNvPr id="50" name="Rectangle 49">
              <a:extLst>
                <a:ext uri="{FF2B5EF4-FFF2-40B4-BE49-F238E27FC236}">
                  <a16:creationId xmlns:a16="http://schemas.microsoft.com/office/drawing/2014/main" id="{00000000-0008-0000-0200-000032000000}"/>
                </a:ext>
              </a:extLst>
            </xdr:cNvPr>
            <xdr:cNvSpPr/>
          </xdr:nvSpPr>
          <xdr:spPr>
            <a:xfrm>
              <a:off x="2601931" y="1195356"/>
              <a:ext cx="1402144" cy="1326357"/>
            </a:xfrm>
            <a:prstGeom prst="rect">
              <a:avLst/>
            </a:prstGeom>
            <a:solidFill>
              <a:schemeClr val="accent6">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n-US" sz="1100" b="1">
                <a:ln>
                  <a:solidFill>
                    <a:schemeClr val="tx1"/>
                  </a:solidFill>
                </a:ln>
                <a:solidFill>
                  <a:schemeClr val="tx1"/>
                </a:solidFill>
              </a:endParaRPr>
            </a:p>
          </xdr:txBody>
        </xdr:sp>
        <xdr:sp macro="" textlink="">
          <xdr:nvSpPr>
            <xdr:cNvPr id="48" name="TextBox 47">
              <a:extLst>
                <a:ext uri="{FF2B5EF4-FFF2-40B4-BE49-F238E27FC236}">
                  <a16:creationId xmlns:a16="http://schemas.microsoft.com/office/drawing/2014/main" id="{00000000-0008-0000-0200-000030000000}"/>
                </a:ext>
              </a:extLst>
            </xdr:cNvPr>
            <xdr:cNvSpPr txBox="1"/>
          </xdr:nvSpPr>
          <xdr:spPr>
            <a:xfrm>
              <a:off x="2707657" y="1353441"/>
              <a:ext cx="1221562" cy="415821"/>
            </a:xfrm>
            <a:prstGeom prst="rect">
              <a:avLst/>
            </a:prstGeom>
            <a:solidFill>
              <a:schemeClr val="accent6">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ctr">
              <a:spAutoFit/>
            </a:bodyPr>
            <a:lstStyle/>
            <a:p>
              <a:pPr algn="ctr"/>
              <a:r>
                <a:rPr lang="en-US" sz="1400" b="1">
                  <a:ln>
                    <a:solidFill>
                      <a:schemeClr val="tx1"/>
                    </a:solidFill>
                  </a:ln>
                  <a:solidFill>
                    <a:schemeClr val="tx1"/>
                  </a:solidFill>
                  <a:latin typeface="+mn-lt"/>
                  <a:ea typeface="+mn-ea"/>
                  <a:cs typeface="+mn-cs"/>
                </a:rPr>
                <a:t>External</a:t>
              </a:r>
              <a:endParaRPr lang="en-US" sz="1100" b="1">
                <a:ln>
                  <a:solidFill>
                    <a:schemeClr val="tx1"/>
                  </a:solidFill>
                </a:ln>
                <a:solidFill>
                  <a:schemeClr val="tx1"/>
                </a:solidFill>
              </a:endParaRPr>
            </a:p>
          </xdr:txBody>
        </xdr:sp>
        <xdr:sp macro="" textlink="'Pivots(Brnch)'!D52">
          <xdr:nvSpPr>
            <xdr:cNvPr id="49" name="TextBox 48">
              <a:extLst>
                <a:ext uri="{FF2B5EF4-FFF2-40B4-BE49-F238E27FC236}">
                  <a16:creationId xmlns:a16="http://schemas.microsoft.com/office/drawing/2014/main" id="{00000000-0008-0000-0200-000031000000}"/>
                </a:ext>
              </a:extLst>
            </xdr:cNvPr>
            <xdr:cNvSpPr txBox="1"/>
          </xdr:nvSpPr>
          <xdr:spPr>
            <a:xfrm>
              <a:off x="2706222" y="1904118"/>
              <a:ext cx="1221562" cy="437208"/>
            </a:xfrm>
            <a:prstGeom prst="rect">
              <a:avLst/>
            </a:prstGeom>
            <a:solidFill>
              <a:schemeClr val="accent6">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ctr">
              <a:noAutofit/>
            </a:bodyPr>
            <a:lstStyle/>
            <a:p>
              <a:pPr marL="0" indent="0" algn="ctr"/>
              <a:fld id="{FD19B142-9151-4C15-AAAA-D55BA3115BBF}" type="TxLink">
                <a:rPr lang="en-US" sz="1800" b="1" i="0" u="none" strike="noStrike" cap="none" spc="0">
                  <a:ln w="6600">
                    <a:solidFill>
                      <a:schemeClr val="accent2"/>
                    </a:solidFill>
                    <a:prstDash val="solid"/>
                  </a:ln>
                  <a:solidFill>
                    <a:srgbClr val="FFFFFF"/>
                  </a:solidFill>
                  <a:effectLst>
                    <a:outerShdw dist="38100" dir="2700000" algn="tl" rotWithShape="0">
                      <a:schemeClr val="accent2"/>
                    </a:outerShdw>
                  </a:effectLst>
                  <a:latin typeface="Calibri"/>
                  <a:ea typeface="+mn-ea"/>
                  <a:cs typeface="+mn-cs"/>
                </a:rPr>
                <a:pPr marL="0" indent="0" algn="ctr"/>
                <a:t>71</a:t>
              </a:fld>
              <a:endParaRPr lang="en-US" sz="1800" b="1" i="0" u="none" strike="noStrike" cap="none" spc="0">
                <a:ln w="6600">
                  <a:solidFill>
                    <a:schemeClr val="accent2"/>
                  </a:solidFill>
                  <a:prstDash val="solid"/>
                </a:ln>
                <a:solidFill>
                  <a:srgbClr val="FFFFFF"/>
                </a:solidFill>
                <a:effectLst>
                  <a:outerShdw dist="38100" dir="2700000" algn="tl" rotWithShape="0">
                    <a:schemeClr val="accent2"/>
                  </a:outerShdw>
                </a:effectLst>
                <a:latin typeface="Calibri"/>
                <a:ea typeface="+mn-ea"/>
                <a:cs typeface="+mn-cs"/>
              </a:endParaRPr>
            </a:p>
          </xdr:txBody>
        </xdr:sp>
      </xdr:grpSp>
      <xdr:grpSp>
        <xdr:nvGrpSpPr>
          <xdr:cNvPr id="17" name="Group 16">
            <a:extLst>
              <a:ext uri="{FF2B5EF4-FFF2-40B4-BE49-F238E27FC236}">
                <a16:creationId xmlns:a16="http://schemas.microsoft.com/office/drawing/2014/main" id="{00000000-0008-0000-0200-000011000000}"/>
              </a:ext>
            </a:extLst>
          </xdr:cNvPr>
          <xdr:cNvGrpSpPr/>
        </xdr:nvGrpSpPr>
        <xdr:grpSpPr>
          <a:xfrm>
            <a:off x="3840910" y="761166"/>
            <a:ext cx="1062911" cy="800869"/>
            <a:chOff x="3027355" y="1179656"/>
            <a:chExt cx="1257300" cy="1316387"/>
          </a:xfrm>
        </xdr:grpSpPr>
        <xdr:sp macro="" textlink="">
          <xdr:nvSpPr>
            <xdr:cNvPr id="45" name="Rectangle 44">
              <a:extLst>
                <a:ext uri="{FF2B5EF4-FFF2-40B4-BE49-F238E27FC236}">
                  <a16:creationId xmlns:a16="http://schemas.microsoft.com/office/drawing/2014/main" id="{00000000-0008-0000-0200-00002D000000}"/>
                </a:ext>
              </a:extLst>
            </xdr:cNvPr>
            <xdr:cNvSpPr/>
          </xdr:nvSpPr>
          <xdr:spPr>
            <a:xfrm>
              <a:off x="3027355" y="1179656"/>
              <a:ext cx="1257300" cy="1316387"/>
            </a:xfrm>
            <a:prstGeom prst="rect">
              <a:avLst/>
            </a:prstGeom>
            <a:solidFill>
              <a:schemeClr val="accent6">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n-US" sz="1100" b="1">
                <a:ln>
                  <a:solidFill>
                    <a:schemeClr val="tx1"/>
                  </a:solidFill>
                </a:ln>
                <a:solidFill>
                  <a:schemeClr val="tx1"/>
                </a:solidFill>
              </a:endParaRPr>
            </a:p>
          </xdr:txBody>
        </xdr:sp>
        <xdr:sp macro="" textlink="">
          <xdr:nvSpPr>
            <xdr:cNvPr id="43" name="TextBox 42">
              <a:extLst>
                <a:ext uri="{FF2B5EF4-FFF2-40B4-BE49-F238E27FC236}">
                  <a16:creationId xmlns:a16="http://schemas.microsoft.com/office/drawing/2014/main" id="{00000000-0008-0000-0200-00002B000000}"/>
                </a:ext>
              </a:extLst>
            </xdr:cNvPr>
            <xdr:cNvSpPr txBox="1"/>
          </xdr:nvSpPr>
          <xdr:spPr>
            <a:xfrm>
              <a:off x="3098452" y="1299289"/>
              <a:ext cx="1095374" cy="463910"/>
            </a:xfrm>
            <a:prstGeom prst="rect">
              <a:avLst/>
            </a:prstGeom>
            <a:solidFill>
              <a:schemeClr val="accent6">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ctr">
              <a:noAutofit/>
            </a:bodyPr>
            <a:lstStyle/>
            <a:p>
              <a:pPr algn="ctr"/>
              <a:r>
                <a:rPr lang="en-US" sz="1400" b="1">
                  <a:ln>
                    <a:solidFill>
                      <a:schemeClr val="tx1"/>
                    </a:solidFill>
                  </a:ln>
                  <a:solidFill>
                    <a:schemeClr val="tx1"/>
                  </a:solidFill>
                  <a:latin typeface="+mn-lt"/>
                  <a:ea typeface="+mn-ea"/>
                  <a:cs typeface="+mn-cs"/>
                </a:rPr>
                <a:t>Hires</a:t>
              </a:r>
            </a:p>
          </xdr:txBody>
        </xdr:sp>
        <xdr:sp macro="" textlink="'Pivots(Brnch)'!F52">
          <xdr:nvSpPr>
            <xdr:cNvPr id="44" name="TextBox 43">
              <a:extLst>
                <a:ext uri="{FF2B5EF4-FFF2-40B4-BE49-F238E27FC236}">
                  <a16:creationId xmlns:a16="http://schemas.microsoft.com/office/drawing/2014/main" id="{00000000-0008-0000-0200-00002C000000}"/>
                </a:ext>
              </a:extLst>
            </xdr:cNvPr>
            <xdr:cNvSpPr txBox="1"/>
          </xdr:nvSpPr>
          <xdr:spPr>
            <a:xfrm>
              <a:off x="3127761" y="1914089"/>
              <a:ext cx="1095374" cy="409339"/>
            </a:xfrm>
            <a:prstGeom prst="rect">
              <a:avLst/>
            </a:prstGeom>
            <a:solidFill>
              <a:schemeClr val="accent6">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ctr">
              <a:noAutofit/>
            </a:bodyPr>
            <a:lstStyle/>
            <a:p>
              <a:pPr marL="0" indent="0" algn="ctr"/>
              <a:fld id="{68EC64A1-918A-4F45-BD0B-5A71D09D8FA1}" type="TxLink">
                <a:rPr lang="en-US" sz="1800" b="1" i="0" u="none" strike="noStrike" cap="none" spc="0">
                  <a:ln w="6600">
                    <a:solidFill>
                      <a:schemeClr val="accent2"/>
                    </a:solidFill>
                    <a:prstDash val="solid"/>
                  </a:ln>
                  <a:solidFill>
                    <a:srgbClr val="FFFFFF"/>
                  </a:solidFill>
                  <a:effectLst>
                    <a:outerShdw dist="38100" dir="2700000" algn="tl" rotWithShape="0">
                      <a:schemeClr val="accent2"/>
                    </a:outerShdw>
                  </a:effectLst>
                  <a:latin typeface="Calibri"/>
                  <a:ea typeface="+mn-ea"/>
                  <a:cs typeface="+mn-cs"/>
                </a:rPr>
                <a:pPr marL="0" indent="0" algn="ctr"/>
                <a:t>4</a:t>
              </a:fld>
              <a:endParaRPr lang="en-US" sz="3600" b="1" i="0" u="none" strike="noStrike" cap="none" spc="0">
                <a:ln w="6600">
                  <a:solidFill>
                    <a:schemeClr val="accent2"/>
                  </a:solidFill>
                  <a:prstDash val="solid"/>
                </a:ln>
                <a:solidFill>
                  <a:srgbClr val="FFFFFF"/>
                </a:solidFill>
                <a:effectLst>
                  <a:outerShdw dist="38100" dir="2700000" algn="tl" rotWithShape="0">
                    <a:schemeClr val="accent2"/>
                  </a:outerShdw>
                </a:effectLst>
                <a:latin typeface="Calibri"/>
                <a:ea typeface="+mn-ea"/>
                <a:cs typeface="+mn-cs"/>
              </a:endParaRPr>
            </a:p>
          </xdr:txBody>
        </xdr:sp>
      </xdr:grpSp>
      <xdr:grpSp>
        <xdr:nvGrpSpPr>
          <xdr:cNvPr id="18" name="Group 17">
            <a:extLst>
              <a:ext uri="{FF2B5EF4-FFF2-40B4-BE49-F238E27FC236}">
                <a16:creationId xmlns:a16="http://schemas.microsoft.com/office/drawing/2014/main" id="{00000000-0008-0000-0200-000012000000}"/>
              </a:ext>
            </a:extLst>
          </xdr:cNvPr>
          <xdr:cNvGrpSpPr/>
        </xdr:nvGrpSpPr>
        <xdr:grpSpPr>
          <a:xfrm>
            <a:off x="5009504" y="770048"/>
            <a:ext cx="1208659" cy="791987"/>
            <a:chOff x="3005610" y="1181094"/>
            <a:chExt cx="1257302" cy="1301789"/>
          </a:xfrm>
        </xdr:grpSpPr>
        <xdr:sp macro="" textlink="">
          <xdr:nvSpPr>
            <xdr:cNvPr id="40" name="Rectangle 39">
              <a:extLst>
                <a:ext uri="{FF2B5EF4-FFF2-40B4-BE49-F238E27FC236}">
                  <a16:creationId xmlns:a16="http://schemas.microsoft.com/office/drawing/2014/main" id="{00000000-0008-0000-0200-000028000000}"/>
                </a:ext>
              </a:extLst>
            </xdr:cNvPr>
            <xdr:cNvSpPr/>
          </xdr:nvSpPr>
          <xdr:spPr>
            <a:xfrm>
              <a:off x="3005610" y="1181094"/>
              <a:ext cx="1257302" cy="1301789"/>
            </a:xfrm>
            <a:prstGeom prst="rect">
              <a:avLst/>
            </a:prstGeom>
            <a:solidFill>
              <a:schemeClr val="accent6">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n-US" sz="1100" b="1">
                <a:ln>
                  <a:solidFill>
                    <a:schemeClr val="tx1"/>
                  </a:solidFill>
                </a:ln>
                <a:solidFill>
                  <a:schemeClr val="tx1"/>
                </a:solidFill>
              </a:endParaRPr>
            </a:p>
          </xdr:txBody>
        </xdr:sp>
        <xdr:sp macro="" textlink="">
          <xdr:nvSpPr>
            <xdr:cNvPr id="38" name="TextBox 37">
              <a:extLst>
                <a:ext uri="{FF2B5EF4-FFF2-40B4-BE49-F238E27FC236}">
                  <a16:creationId xmlns:a16="http://schemas.microsoft.com/office/drawing/2014/main" id="{00000000-0008-0000-0200-000026000000}"/>
                </a:ext>
              </a:extLst>
            </xdr:cNvPr>
            <xdr:cNvSpPr txBox="1"/>
          </xdr:nvSpPr>
          <xdr:spPr>
            <a:xfrm>
              <a:off x="3074484" y="1283358"/>
              <a:ext cx="1116919" cy="481495"/>
            </a:xfrm>
            <a:prstGeom prst="rect">
              <a:avLst/>
            </a:prstGeom>
            <a:solidFill>
              <a:schemeClr val="accent6">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ctr">
              <a:noAutofit/>
            </a:bodyPr>
            <a:lstStyle/>
            <a:p>
              <a:pPr algn="ctr"/>
              <a:r>
                <a:rPr lang="en-US" sz="1400" b="1">
                  <a:ln>
                    <a:solidFill>
                      <a:schemeClr val="tx1"/>
                    </a:solidFill>
                  </a:ln>
                  <a:solidFill>
                    <a:schemeClr val="tx1"/>
                  </a:solidFill>
                  <a:latin typeface="+mn-lt"/>
                  <a:ea typeface="+mn-ea"/>
                  <a:cs typeface="+mn-cs"/>
                </a:rPr>
                <a:t>Productivity</a:t>
              </a:r>
            </a:p>
          </xdr:txBody>
        </xdr:sp>
        <xdr:sp macro="" textlink="'Pivots(Brnch)'!G52">
          <xdr:nvSpPr>
            <xdr:cNvPr id="39" name="TextBox 38">
              <a:extLst>
                <a:ext uri="{FF2B5EF4-FFF2-40B4-BE49-F238E27FC236}">
                  <a16:creationId xmlns:a16="http://schemas.microsoft.com/office/drawing/2014/main" id="{00000000-0008-0000-0200-000027000000}"/>
                </a:ext>
              </a:extLst>
            </xdr:cNvPr>
            <xdr:cNvSpPr txBox="1"/>
          </xdr:nvSpPr>
          <xdr:spPr>
            <a:xfrm>
              <a:off x="3105986" y="1904116"/>
              <a:ext cx="1095374" cy="409337"/>
            </a:xfrm>
            <a:prstGeom prst="rect">
              <a:avLst/>
            </a:prstGeom>
            <a:solidFill>
              <a:schemeClr val="accent6">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ctr">
              <a:noAutofit/>
            </a:bodyPr>
            <a:lstStyle/>
            <a:p>
              <a:pPr marL="0" indent="0" algn="ctr"/>
              <a:fld id="{B9E9F252-F3C9-4F7A-AAEB-38497AA20489}" type="TxLink">
                <a:rPr lang="en-US" sz="1800" b="1" i="0" u="none" strike="noStrike" cap="none" spc="0">
                  <a:ln w="6600">
                    <a:solidFill>
                      <a:schemeClr val="accent2"/>
                    </a:solidFill>
                    <a:prstDash val="solid"/>
                  </a:ln>
                  <a:solidFill>
                    <a:srgbClr val="FFFFFF"/>
                  </a:solidFill>
                  <a:effectLst>
                    <a:outerShdw dist="38100" dir="2700000" algn="tl" rotWithShape="0">
                      <a:schemeClr val="accent2"/>
                    </a:outerShdw>
                  </a:effectLst>
                  <a:latin typeface="Calibri"/>
                  <a:ea typeface="+mn-ea"/>
                  <a:cs typeface="+mn-cs"/>
                </a:rPr>
                <a:pPr marL="0" indent="0" algn="ctr"/>
                <a:t>0.15</a:t>
              </a:fld>
              <a:endParaRPr lang="en-US" sz="3600" b="1" i="0" u="none" strike="noStrike" cap="none" spc="0">
                <a:ln w="6600">
                  <a:solidFill>
                    <a:schemeClr val="accent2"/>
                  </a:solidFill>
                  <a:prstDash val="solid"/>
                </a:ln>
                <a:solidFill>
                  <a:srgbClr val="FFFFFF"/>
                </a:solidFill>
                <a:effectLst>
                  <a:outerShdw dist="38100" dir="2700000" algn="tl" rotWithShape="0">
                    <a:schemeClr val="accent2"/>
                  </a:outerShdw>
                </a:effectLst>
                <a:latin typeface="Calibri"/>
                <a:ea typeface="+mn-ea"/>
                <a:cs typeface="+mn-cs"/>
              </a:endParaRPr>
            </a:p>
          </xdr:txBody>
        </xdr:sp>
      </xdr:grpSp>
      <xdr:grpSp>
        <xdr:nvGrpSpPr>
          <xdr:cNvPr id="19" name="Group 18">
            <a:extLst>
              <a:ext uri="{FF2B5EF4-FFF2-40B4-BE49-F238E27FC236}">
                <a16:creationId xmlns:a16="http://schemas.microsoft.com/office/drawing/2014/main" id="{00000000-0008-0000-0200-000013000000}"/>
              </a:ext>
            </a:extLst>
          </xdr:cNvPr>
          <xdr:cNvGrpSpPr/>
        </xdr:nvGrpSpPr>
        <xdr:grpSpPr>
          <a:xfrm>
            <a:off x="6305893" y="780345"/>
            <a:ext cx="1167651" cy="787757"/>
            <a:chOff x="3132172" y="1181094"/>
            <a:chExt cx="1156433" cy="1294834"/>
          </a:xfrm>
        </xdr:grpSpPr>
        <xdr:sp macro="" textlink="">
          <xdr:nvSpPr>
            <xdr:cNvPr id="35" name="Rectangle 34">
              <a:extLst>
                <a:ext uri="{FF2B5EF4-FFF2-40B4-BE49-F238E27FC236}">
                  <a16:creationId xmlns:a16="http://schemas.microsoft.com/office/drawing/2014/main" id="{00000000-0008-0000-0200-000023000000}"/>
                </a:ext>
              </a:extLst>
            </xdr:cNvPr>
            <xdr:cNvSpPr/>
          </xdr:nvSpPr>
          <xdr:spPr>
            <a:xfrm>
              <a:off x="3132172" y="1181094"/>
              <a:ext cx="1156433" cy="1294834"/>
            </a:xfrm>
            <a:prstGeom prst="rect">
              <a:avLst/>
            </a:prstGeom>
            <a:solidFill>
              <a:schemeClr val="accent6">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n-US" sz="1100" b="1">
                <a:ln>
                  <a:solidFill>
                    <a:schemeClr val="tx1"/>
                  </a:solidFill>
                </a:ln>
                <a:solidFill>
                  <a:schemeClr val="tx1"/>
                </a:solidFill>
              </a:endParaRPr>
            </a:p>
          </xdr:txBody>
        </xdr:sp>
        <xdr:sp macro="" textlink="">
          <xdr:nvSpPr>
            <xdr:cNvPr id="33" name="TextBox 32">
              <a:extLst>
                <a:ext uri="{FF2B5EF4-FFF2-40B4-BE49-F238E27FC236}">
                  <a16:creationId xmlns:a16="http://schemas.microsoft.com/office/drawing/2014/main" id="{00000000-0008-0000-0200-000021000000}"/>
                </a:ext>
              </a:extLst>
            </xdr:cNvPr>
            <xdr:cNvSpPr txBox="1"/>
          </xdr:nvSpPr>
          <xdr:spPr>
            <a:xfrm>
              <a:off x="3167636" y="1282924"/>
              <a:ext cx="1080275" cy="435084"/>
            </a:xfrm>
            <a:prstGeom prst="rect">
              <a:avLst/>
            </a:prstGeom>
            <a:solidFill>
              <a:schemeClr val="accent6">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ctr">
              <a:noAutofit/>
            </a:bodyPr>
            <a:lstStyle/>
            <a:p>
              <a:pPr algn="ctr"/>
              <a:r>
                <a:rPr lang="en-US" sz="1400" b="1">
                  <a:ln>
                    <a:solidFill>
                      <a:schemeClr val="tx1"/>
                    </a:solidFill>
                  </a:ln>
                  <a:solidFill>
                    <a:schemeClr val="tx1"/>
                  </a:solidFill>
                  <a:latin typeface="+mn-lt"/>
                  <a:ea typeface="+mn-ea"/>
                  <a:cs typeface="+mn-cs"/>
                </a:rPr>
                <a:t>SPR</a:t>
              </a:r>
            </a:p>
          </xdr:txBody>
        </xdr:sp>
        <xdr:sp macro="" textlink="'Pivots(Brnch)'!H52">
          <xdr:nvSpPr>
            <xdr:cNvPr id="34" name="TextBox 33">
              <a:extLst>
                <a:ext uri="{FF2B5EF4-FFF2-40B4-BE49-F238E27FC236}">
                  <a16:creationId xmlns:a16="http://schemas.microsoft.com/office/drawing/2014/main" id="{00000000-0008-0000-0200-000022000000}"/>
                </a:ext>
              </a:extLst>
            </xdr:cNvPr>
            <xdr:cNvSpPr txBox="1"/>
          </xdr:nvSpPr>
          <xdr:spPr>
            <a:xfrm>
              <a:off x="3173880" y="1908403"/>
              <a:ext cx="1092859" cy="409337"/>
            </a:xfrm>
            <a:prstGeom prst="rect">
              <a:avLst/>
            </a:prstGeom>
            <a:solidFill>
              <a:schemeClr val="accent6">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ctr">
              <a:noAutofit/>
            </a:bodyPr>
            <a:lstStyle/>
            <a:p>
              <a:pPr marL="0" indent="0" algn="ctr"/>
              <a:fld id="{B4A77C18-804E-4FD2-8645-3D232611B0BF}" type="TxLink">
                <a:rPr lang="en-US" sz="1800" b="1" i="0" u="none" strike="noStrike" cap="none" spc="0">
                  <a:ln w="6600">
                    <a:solidFill>
                      <a:schemeClr val="accent2"/>
                    </a:solidFill>
                    <a:prstDash val="solid"/>
                  </a:ln>
                  <a:solidFill>
                    <a:srgbClr val="FFFFFF"/>
                  </a:solidFill>
                  <a:effectLst>
                    <a:outerShdw dist="38100" dir="2700000" algn="tl" rotWithShape="0">
                      <a:schemeClr val="accent2"/>
                    </a:outerShdw>
                  </a:effectLst>
                  <a:latin typeface="Calibri"/>
                  <a:ea typeface="+mn-ea"/>
                  <a:cs typeface="+mn-cs"/>
                </a:rPr>
                <a:pPr marL="0" indent="0" algn="ctr"/>
                <a:t>0.17</a:t>
              </a:fld>
              <a:endParaRPr lang="en-US" sz="3200" b="1" i="0" u="none" strike="noStrike" cap="none" spc="0">
                <a:ln w="6600">
                  <a:solidFill>
                    <a:schemeClr val="accent2"/>
                  </a:solidFill>
                  <a:prstDash val="solid"/>
                </a:ln>
                <a:solidFill>
                  <a:srgbClr val="FFFFFF"/>
                </a:solidFill>
                <a:effectLst>
                  <a:outerShdw dist="38100" dir="2700000" algn="tl" rotWithShape="0">
                    <a:schemeClr val="accent2"/>
                  </a:outerShdw>
                </a:effectLst>
                <a:latin typeface="Calibri"/>
                <a:ea typeface="+mn-ea"/>
                <a:cs typeface="+mn-cs"/>
              </a:endParaRPr>
            </a:p>
          </xdr:txBody>
        </xdr:sp>
      </xdr:grpSp>
      <xdr:grpSp>
        <xdr:nvGrpSpPr>
          <xdr:cNvPr id="20" name="Group 19">
            <a:extLst>
              <a:ext uri="{FF2B5EF4-FFF2-40B4-BE49-F238E27FC236}">
                <a16:creationId xmlns:a16="http://schemas.microsoft.com/office/drawing/2014/main" id="{00000000-0008-0000-0200-000014000000}"/>
              </a:ext>
            </a:extLst>
          </xdr:cNvPr>
          <xdr:cNvGrpSpPr/>
        </xdr:nvGrpSpPr>
        <xdr:grpSpPr>
          <a:xfrm>
            <a:off x="2504936" y="759655"/>
            <a:ext cx="1243390" cy="796314"/>
            <a:chOff x="2737046" y="1181097"/>
            <a:chExt cx="1521333" cy="1308898"/>
          </a:xfrm>
        </xdr:grpSpPr>
        <xdr:sp macro="" textlink="">
          <xdr:nvSpPr>
            <xdr:cNvPr id="30" name="Rectangle 29">
              <a:extLst>
                <a:ext uri="{FF2B5EF4-FFF2-40B4-BE49-F238E27FC236}">
                  <a16:creationId xmlns:a16="http://schemas.microsoft.com/office/drawing/2014/main" id="{00000000-0008-0000-0200-00001E000000}"/>
                </a:ext>
              </a:extLst>
            </xdr:cNvPr>
            <xdr:cNvSpPr/>
          </xdr:nvSpPr>
          <xdr:spPr>
            <a:xfrm>
              <a:off x="2737046" y="1181097"/>
              <a:ext cx="1521333" cy="1308898"/>
            </a:xfrm>
            <a:prstGeom prst="rect">
              <a:avLst/>
            </a:prstGeom>
            <a:solidFill>
              <a:schemeClr val="accent6">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n-US" sz="1100" b="1">
                <a:ln>
                  <a:solidFill>
                    <a:schemeClr val="tx1"/>
                  </a:solidFill>
                </a:ln>
                <a:solidFill>
                  <a:schemeClr val="tx1"/>
                </a:solidFill>
              </a:endParaRPr>
            </a:p>
          </xdr:txBody>
        </xdr:sp>
        <xdr:sp macro="" textlink="">
          <xdr:nvSpPr>
            <xdr:cNvPr id="28" name="TextBox 27">
              <a:extLst>
                <a:ext uri="{FF2B5EF4-FFF2-40B4-BE49-F238E27FC236}">
                  <a16:creationId xmlns:a16="http://schemas.microsoft.com/office/drawing/2014/main" id="{00000000-0008-0000-0200-00001C000000}"/>
                </a:ext>
              </a:extLst>
            </xdr:cNvPr>
            <xdr:cNvSpPr txBox="1"/>
          </xdr:nvSpPr>
          <xdr:spPr>
            <a:xfrm>
              <a:off x="2834826" y="1296045"/>
              <a:ext cx="1325401" cy="516655"/>
            </a:xfrm>
            <a:prstGeom prst="rect">
              <a:avLst/>
            </a:prstGeom>
            <a:solidFill>
              <a:schemeClr val="accent6">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ctr">
              <a:noAutofit/>
            </a:bodyPr>
            <a:lstStyle/>
            <a:p>
              <a:pPr algn="ctr"/>
              <a:r>
                <a:rPr lang="en-US" sz="1400" b="1">
                  <a:ln>
                    <a:solidFill>
                      <a:schemeClr val="tx1"/>
                    </a:solidFill>
                  </a:ln>
                  <a:solidFill>
                    <a:schemeClr val="tx1"/>
                  </a:solidFill>
                  <a:latin typeface="+mn-lt"/>
                  <a:ea typeface="+mn-ea"/>
                  <a:cs typeface="+mn-cs"/>
                </a:rPr>
                <a:t>Interviews</a:t>
              </a:r>
            </a:p>
          </xdr:txBody>
        </xdr:sp>
        <xdr:sp macro="" textlink="'Pivots(Brnch)'!E52">
          <xdr:nvSpPr>
            <xdr:cNvPr id="29" name="TextBox 28">
              <a:extLst>
                <a:ext uri="{FF2B5EF4-FFF2-40B4-BE49-F238E27FC236}">
                  <a16:creationId xmlns:a16="http://schemas.microsoft.com/office/drawing/2014/main" id="{00000000-0008-0000-0200-00001D000000}"/>
                </a:ext>
              </a:extLst>
            </xdr:cNvPr>
            <xdr:cNvSpPr txBox="1"/>
          </xdr:nvSpPr>
          <xdr:spPr>
            <a:xfrm>
              <a:off x="2833199" y="1894145"/>
              <a:ext cx="1325402" cy="409338"/>
            </a:xfrm>
            <a:prstGeom prst="rect">
              <a:avLst/>
            </a:prstGeom>
            <a:solidFill>
              <a:schemeClr val="accent6">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ctr">
              <a:noAutofit/>
            </a:bodyPr>
            <a:lstStyle/>
            <a:p>
              <a:pPr marL="0" indent="0" algn="ctr"/>
              <a:fld id="{2E9A2FEF-C100-4F91-98B1-01FBE83D951F}" type="TxLink">
                <a:rPr lang="en-US" sz="1800" b="1" i="0" u="none" strike="noStrike" cap="none" spc="0">
                  <a:ln w="6600">
                    <a:solidFill>
                      <a:schemeClr val="accent2"/>
                    </a:solidFill>
                    <a:prstDash val="solid"/>
                  </a:ln>
                  <a:solidFill>
                    <a:srgbClr val="FFFFFF"/>
                  </a:solidFill>
                  <a:effectLst>
                    <a:outerShdw dist="38100" dir="2700000" algn="tl" rotWithShape="0">
                      <a:schemeClr val="accent2"/>
                    </a:outerShdw>
                  </a:effectLst>
                  <a:latin typeface="Calibri"/>
                  <a:ea typeface="+mn-ea"/>
                  <a:cs typeface="+mn-cs"/>
                </a:rPr>
                <a:pPr marL="0" indent="0" algn="ctr"/>
                <a:t>18</a:t>
              </a:fld>
              <a:endParaRPr lang="en-US" sz="3600" b="1" i="0" u="none" strike="noStrike" cap="none" spc="0">
                <a:ln w="6600">
                  <a:solidFill>
                    <a:schemeClr val="accent2"/>
                  </a:solidFill>
                  <a:prstDash val="solid"/>
                </a:ln>
                <a:solidFill>
                  <a:srgbClr val="FFFFFF"/>
                </a:solidFill>
                <a:effectLst>
                  <a:outerShdw dist="38100" dir="2700000" algn="tl" rotWithShape="0">
                    <a:schemeClr val="accent2"/>
                  </a:outerShdw>
                </a:effectLst>
                <a:latin typeface="Calibri"/>
                <a:ea typeface="+mn-ea"/>
                <a:cs typeface="+mn-cs"/>
              </a:endParaRPr>
            </a:p>
          </xdr:txBody>
        </xdr:sp>
      </xdr:grpSp>
      <xdr:grpSp>
        <xdr:nvGrpSpPr>
          <xdr:cNvPr id="21" name="Group 20">
            <a:extLst>
              <a:ext uri="{FF2B5EF4-FFF2-40B4-BE49-F238E27FC236}">
                <a16:creationId xmlns:a16="http://schemas.microsoft.com/office/drawing/2014/main" id="{00000000-0008-0000-0200-000015000000}"/>
              </a:ext>
            </a:extLst>
          </xdr:cNvPr>
          <xdr:cNvGrpSpPr/>
        </xdr:nvGrpSpPr>
        <xdr:grpSpPr>
          <a:xfrm>
            <a:off x="7556067" y="776523"/>
            <a:ext cx="1291615" cy="805484"/>
            <a:chOff x="2628900" y="1181094"/>
            <a:chExt cx="1257300" cy="1323973"/>
          </a:xfrm>
        </xdr:grpSpPr>
        <xdr:sp macro="" textlink="">
          <xdr:nvSpPr>
            <xdr:cNvPr id="25" name="Rectangle 24">
              <a:extLst>
                <a:ext uri="{FF2B5EF4-FFF2-40B4-BE49-F238E27FC236}">
                  <a16:creationId xmlns:a16="http://schemas.microsoft.com/office/drawing/2014/main" id="{00000000-0008-0000-0200-000019000000}"/>
                </a:ext>
              </a:extLst>
            </xdr:cNvPr>
            <xdr:cNvSpPr/>
          </xdr:nvSpPr>
          <xdr:spPr>
            <a:xfrm>
              <a:off x="2628900" y="1181094"/>
              <a:ext cx="1257300" cy="1323973"/>
            </a:xfrm>
            <a:prstGeom prst="rect">
              <a:avLst/>
            </a:prstGeom>
            <a:solidFill>
              <a:schemeClr val="accent6">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n-US" sz="1100" b="1">
                <a:ln>
                  <a:solidFill>
                    <a:schemeClr val="tx1"/>
                  </a:solidFill>
                </a:ln>
                <a:solidFill>
                  <a:schemeClr val="tx1"/>
                </a:solidFill>
              </a:endParaRPr>
            </a:p>
          </xdr:txBody>
        </xdr:sp>
        <xdr:sp macro="" textlink="">
          <xdr:nvSpPr>
            <xdr:cNvPr id="23" name="TextBox 22">
              <a:extLst>
                <a:ext uri="{FF2B5EF4-FFF2-40B4-BE49-F238E27FC236}">
                  <a16:creationId xmlns:a16="http://schemas.microsoft.com/office/drawing/2014/main" id="{00000000-0008-0000-0200-000017000000}"/>
                </a:ext>
              </a:extLst>
            </xdr:cNvPr>
            <xdr:cNvSpPr txBox="1"/>
          </xdr:nvSpPr>
          <xdr:spPr>
            <a:xfrm>
              <a:off x="2697026" y="1328217"/>
              <a:ext cx="1150059" cy="415822"/>
            </a:xfrm>
            <a:prstGeom prst="rect">
              <a:avLst/>
            </a:prstGeom>
            <a:solidFill>
              <a:schemeClr val="accent6">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ctr">
              <a:spAutoFit/>
            </a:bodyPr>
            <a:lstStyle/>
            <a:p>
              <a:pPr algn="ctr"/>
              <a:r>
                <a:rPr lang="en-US" sz="1400" b="1">
                  <a:ln>
                    <a:solidFill>
                      <a:schemeClr val="tx1"/>
                    </a:solidFill>
                  </a:ln>
                  <a:solidFill>
                    <a:schemeClr val="tx1"/>
                  </a:solidFill>
                  <a:latin typeface="+mn-lt"/>
                  <a:ea typeface="+mn-ea"/>
                  <a:cs typeface="+mn-cs"/>
                </a:rPr>
                <a:t>Conversion</a:t>
              </a:r>
              <a:endParaRPr lang="en-US" sz="1100" b="1">
                <a:ln>
                  <a:solidFill>
                    <a:schemeClr val="tx1"/>
                  </a:solidFill>
                </a:ln>
                <a:solidFill>
                  <a:schemeClr val="tx1"/>
                </a:solidFill>
              </a:endParaRPr>
            </a:p>
          </xdr:txBody>
        </xdr:sp>
        <xdr:sp macro="" textlink="'Pivots(Brnch)'!I52">
          <xdr:nvSpPr>
            <xdr:cNvPr id="24" name="TextBox 23">
              <a:extLst>
                <a:ext uri="{FF2B5EF4-FFF2-40B4-BE49-F238E27FC236}">
                  <a16:creationId xmlns:a16="http://schemas.microsoft.com/office/drawing/2014/main" id="{00000000-0008-0000-0200-000018000000}"/>
                </a:ext>
              </a:extLst>
            </xdr:cNvPr>
            <xdr:cNvSpPr txBox="1"/>
          </xdr:nvSpPr>
          <xdr:spPr>
            <a:xfrm>
              <a:off x="2716975" y="1955505"/>
              <a:ext cx="1089767" cy="409338"/>
            </a:xfrm>
            <a:prstGeom prst="rect">
              <a:avLst/>
            </a:prstGeom>
            <a:solidFill>
              <a:schemeClr val="accent6">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ctr">
              <a:noAutofit/>
            </a:bodyPr>
            <a:lstStyle/>
            <a:p>
              <a:pPr marL="0" indent="0" algn="ctr"/>
              <a:fld id="{E8AFD439-FA19-497F-8B3B-6273462E10A6}" type="TxLink">
                <a:rPr lang="en-US" sz="1800" b="1" i="0" u="none" strike="noStrike" cap="none" spc="0">
                  <a:ln w="6600">
                    <a:solidFill>
                      <a:schemeClr val="accent2"/>
                    </a:solidFill>
                    <a:prstDash val="solid"/>
                  </a:ln>
                  <a:solidFill>
                    <a:srgbClr val="FFFFFF"/>
                  </a:solidFill>
                  <a:effectLst>
                    <a:outerShdw dist="38100" dir="2700000" algn="tl" rotWithShape="0">
                      <a:schemeClr val="accent2"/>
                    </a:outerShdw>
                  </a:effectLst>
                  <a:latin typeface="Calibri"/>
                  <a:ea typeface="+mn-ea"/>
                  <a:cs typeface="+mn-cs"/>
                </a:rPr>
                <a:pPr marL="0" indent="0" algn="ctr"/>
                <a:t>18</a:t>
              </a:fld>
              <a:endParaRPr lang="en-US" sz="3600" b="1" i="0" u="none" strike="noStrike" cap="none" spc="0">
                <a:ln w="6600">
                  <a:solidFill>
                    <a:schemeClr val="accent2"/>
                  </a:solidFill>
                  <a:prstDash val="solid"/>
                </a:ln>
                <a:solidFill>
                  <a:srgbClr val="FFFFFF"/>
                </a:solidFill>
                <a:effectLst>
                  <a:outerShdw dist="38100" dir="2700000" algn="tl" rotWithShape="0">
                    <a:schemeClr val="accent2"/>
                  </a:outerShdw>
                </a:effectLst>
                <a:latin typeface="Calibri"/>
                <a:ea typeface="+mn-ea"/>
                <a:cs typeface="+mn-cs"/>
              </a:endParaRPr>
            </a:p>
          </xdr:txBody>
        </xdr:sp>
      </xdr:grpSp>
    </xdr:grpSp>
    <xdr:clientData/>
  </xdr:twoCellAnchor>
  <xdr:twoCellAnchor>
    <xdr:from>
      <xdr:col>4</xdr:col>
      <xdr:colOff>1704974</xdr:colOff>
      <xdr:row>7</xdr:row>
      <xdr:rowOff>57150</xdr:rowOff>
    </xdr:from>
    <xdr:to>
      <xdr:col>6</xdr:col>
      <xdr:colOff>9524</xdr:colOff>
      <xdr:row>8</xdr:row>
      <xdr:rowOff>180975</xdr:rowOff>
    </xdr:to>
    <xdr:sp macro="[0]!Availibility_R" textlink="">
      <xdr:nvSpPr>
        <xdr:cNvPr id="59" name="Rectangle 58">
          <a:extLst>
            <a:ext uri="{FF2B5EF4-FFF2-40B4-BE49-F238E27FC236}">
              <a16:creationId xmlns:a16="http://schemas.microsoft.com/office/drawing/2014/main" id="{00000000-0008-0000-0200-00003B000000}"/>
            </a:ext>
          </a:extLst>
        </xdr:cNvPr>
        <xdr:cNvSpPr/>
      </xdr:nvSpPr>
      <xdr:spPr>
        <a:xfrm>
          <a:off x="3609974" y="1390650"/>
          <a:ext cx="885825" cy="314325"/>
        </a:xfrm>
        <a:prstGeom prst="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ctr"/>
          <a:r>
            <a:rPr lang="en-US" sz="1400" b="1"/>
            <a:t>Notes</a:t>
          </a:r>
        </a:p>
      </xdr:txBody>
    </xdr:sp>
    <xdr:clientData/>
  </xdr:twoCellAnchor>
  <xdr:twoCellAnchor editAs="oneCell">
    <xdr:from>
      <xdr:col>0</xdr:col>
      <xdr:colOff>0</xdr:colOff>
      <xdr:row>0</xdr:row>
      <xdr:rowOff>179293</xdr:rowOff>
    </xdr:from>
    <xdr:to>
      <xdr:col>3</xdr:col>
      <xdr:colOff>62006</xdr:colOff>
      <xdr:row>29</xdr:row>
      <xdr:rowOff>52294</xdr:rowOff>
    </xdr:to>
    <mc:AlternateContent xmlns:mc="http://schemas.openxmlformats.org/markup-compatibility/2006" xmlns:a14="http://schemas.microsoft.com/office/drawing/2010/main">
      <mc:Choice Requires="a14">
        <xdr:graphicFrame macro="">
          <xdr:nvGraphicFramePr>
            <xdr:cNvPr id="2" name="Division">
              <a:extLst>
                <a:ext uri="{FF2B5EF4-FFF2-40B4-BE49-F238E27FC236}">
                  <a16:creationId xmlns:a16="http://schemas.microsoft.com/office/drawing/2014/main" id="{00000000-0008-0000-0200-000002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Division"/>
            </a:graphicData>
          </a:graphic>
        </xdr:graphicFrame>
      </mc:Choice>
      <mc:Fallback xmlns="">
        <xdr:sp macro="" textlink="">
          <xdr:nvSpPr>
            <xdr:cNvPr id="0" name=""/>
            <xdr:cNvSpPr>
              <a:spLocks noTextEdit="1"/>
            </xdr:cNvSpPr>
          </xdr:nvSpPr>
          <xdr:spPr>
            <a:xfrm>
              <a:off x="0" y="179293"/>
              <a:ext cx="1899771" cy="528917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absolute">
    <xdr:from>
      <xdr:col>3</xdr:col>
      <xdr:colOff>88899</xdr:colOff>
      <xdr:row>2</xdr:row>
      <xdr:rowOff>158750</xdr:rowOff>
    </xdr:from>
    <xdr:to>
      <xdr:col>11</xdr:col>
      <xdr:colOff>95249</xdr:colOff>
      <xdr:row>17</xdr:row>
      <xdr:rowOff>158750</xdr:rowOff>
    </xdr:to>
    <xdr:sp macro="" textlink="" fLocksText="0">
      <xdr:nvSpPr>
        <xdr:cNvPr id="2" name="Rectangle 1">
          <a:extLst>
            <a:ext uri="{FF2B5EF4-FFF2-40B4-BE49-F238E27FC236}">
              <a16:creationId xmlns:a16="http://schemas.microsoft.com/office/drawing/2014/main" id="{300FB569-4E2F-402B-A863-B72F8B108AA7}"/>
            </a:ext>
          </a:extLst>
        </xdr:cNvPr>
        <xdr:cNvSpPr>
          <a:spLocks noChangeAspect="1"/>
        </xdr:cNvSpPr>
      </xdr:nvSpPr>
      <xdr:spPr>
        <a:xfrm>
          <a:off x="1917699" y="527050"/>
          <a:ext cx="4883150" cy="2762250"/>
        </a:xfrm>
        <a:prstGeom prst="rect">
          <a:avLst/>
        </a:prstGeom>
        <a:ln w="28575">
          <a:solidFill>
            <a:schemeClr val="tx1"/>
          </a:solidFill>
        </a:ln>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l"/>
          <a:endParaRPr lang="en-IN" sz="1100"/>
        </a:p>
      </xdr:txBody>
    </xdr:sp>
    <xdr:clientData fLocksWithSheet="0" fPrintsWithSheet="0"/>
  </xdr:twoCellAnchor>
  <xdr:twoCellAnchor>
    <xdr:from>
      <xdr:col>3</xdr:col>
      <xdr:colOff>146049</xdr:colOff>
      <xdr:row>3</xdr:row>
      <xdr:rowOff>50800</xdr:rowOff>
    </xdr:from>
    <xdr:to>
      <xdr:col>5</xdr:col>
      <xdr:colOff>31749</xdr:colOff>
      <xdr:row>5</xdr:row>
      <xdr:rowOff>63500</xdr:rowOff>
    </xdr:to>
    <xdr:sp macro="" textlink="">
      <xdr:nvSpPr>
        <xdr:cNvPr id="17" name="Rectangle: Rounded Corners 16">
          <a:extLst>
            <a:ext uri="{FF2B5EF4-FFF2-40B4-BE49-F238E27FC236}">
              <a16:creationId xmlns:a16="http://schemas.microsoft.com/office/drawing/2014/main" id="{C5E782CD-FD4D-4BB1-9C07-2CE17D4A2D7D}"/>
            </a:ext>
          </a:extLst>
        </xdr:cNvPr>
        <xdr:cNvSpPr/>
      </xdr:nvSpPr>
      <xdr:spPr>
        <a:xfrm>
          <a:off x="1974849" y="603250"/>
          <a:ext cx="1104900" cy="381000"/>
        </a:xfrm>
        <a:prstGeom prst="roundRect">
          <a:avLst/>
        </a:prstGeom>
        <a:ln>
          <a:solidFill>
            <a:schemeClr val="tx1">
              <a:lumMod val="85000"/>
              <a:lumOff val="15000"/>
            </a:schemeClr>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scene3d>
            <a:camera prst="orthographicFront"/>
            <a:lightRig rig="threePt" dir="t"/>
          </a:scene3d>
          <a:sp3d/>
        </a:bodyPr>
        <a:lstStyle/>
        <a:p>
          <a:pPr algn="ctr"/>
          <a:r>
            <a:rPr lang="en-IN" sz="1400" b="0">
              <a:ln>
                <a:solidFill>
                  <a:sysClr val="windowText" lastClr="000000"/>
                </a:solidFill>
              </a:ln>
              <a:solidFill>
                <a:sysClr val="windowText" lastClr="000000"/>
              </a:solidFill>
              <a:effectLst/>
              <a:latin typeface="+mj-lt"/>
              <a:cs typeface="Arial" panose="020B0604020202020204" pitchFamily="34" charset="0"/>
            </a:rPr>
            <a:t>Internal</a:t>
          </a:r>
          <a:endParaRPr lang="en-IN" sz="1600" b="0">
            <a:ln>
              <a:solidFill>
                <a:sysClr val="windowText" lastClr="000000"/>
              </a:solidFill>
            </a:ln>
            <a:solidFill>
              <a:sysClr val="windowText" lastClr="000000"/>
            </a:solidFill>
            <a:effectLst/>
            <a:latin typeface="+mj-lt"/>
            <a:cs typeface="Arial" panose="020B0604020202020204" pitchFamily="34" charset="0"/>
          </a:endParaRPr>
        </a:p>
      </xdr:txBody>
    </xdr:sp>
    <xdr:clientData/>
  </xdr:twoCellAnchor>
  <xdr:twoCellAnchor editAs="oneCell">
    <xdr:from>
      <xdr:col>0</xdr:col>
      <xdr:colOff>63500</xdr:colOff>
      <xdr:row>2</xdr:row>
      <xdr:rowOff>146050</xdr:rowOff>
    </xdr:from>
    <xdr:to>
      <xdr:col>3</xdr:col>
      <xdr:colOff>25400</xdr:colOff>
      <xdr:row>31</xdr:row>
      <xdr:rowOff>94877</xdr:rowOff>
    </xdr:to>
    <mc:AlternateContent xmlns:mc="http://schemas.openxmlformats.org/markup-compatibility/2006" xmlns:a14="http://schemas.microsoft.com/office/drawing/2010/main">
      <mc:Choice Requires="a14">
        <xdr:graphicFrame macro="">
          <xdr:nvGraphicFramePr>
            <xdr:cNvPr id="18" name="Division 1">
              <a:extLst>
                <a:ext uri="{FF2B5EF4-FFF2-40B4-BE49-F238E27FC236}">
                  <a16:creationId xmlns:a16="http://schemas.microsoft.com/office/drawing/2014/main" id="{CAA4F595-A163-4369-A152-7E8613C418BB}"/>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Division 1"/>
            </a:graphicData>
          </a:graphic>
        </xdr:graphicFrame>
      </mc:Choice>
      <mc:Fallback xmlns="">
        <xdr:sp macro="" textlink="">
          <xdr:nvSpPr>
            <xdr:cNvPr id="0" name=""/>
            <xdr:cNvSpPr>
              <a:spLocks noTextEdit="1"/>
            </xdr:cNvSpPr>
          </xdr:nvSpPr>
          <xdr:spPr>
            <a:xfrm>
              <a:off x="63500" y="514350"/>
              <a:ext cx="1790700" cy="528917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139699</xdr:colOff>
      <xdr:row>3</xdr:row>
      <xdr:rowOff>50800</xdr:rowOff>
    </xdr:from>
    <xdr:to>
      <xdr:col>7</xdr:col>
      <xdr:colOff>25399</xdr:colOff>
      <xdr:row>5</xdr:row>
      <xdr:rowOff>63500</xdr:rowOff>
    </xdr:to>
    <xdr:sp macro="" textlink="'Pivots(Brnch)'!C52">
      <xdr:nvSpPr>
        <xdr:cNvPr id="21" name="Rectangle: Rounded Corners 20">
          <a:extLst>
            <a:ext uri="{FF2B5EF4-FFF2-40B4-BE49-F238E27FC236}">
              <a16:creationId xmlns:a16="http://schemas.microsoft.com/office/drawing/2014/main" id="{80DE842B-198A-4E30-B076-5F5A42C2E6B6}"/>
            </a:ext>
          </a:extLst>
        </xdr:cNvPr>
        <xdr:cNvSpPr/>
      </xdr:nvSpPr>
      <xdr:spPr>
        <a:xfrm>
          <a:off x="3187699" y="603250"/>
          <a:ext cx="1104900" cy="381000"/>
        </a:xfrm>
        <a:prstGeom prst="roundRect">
          <a:avLst/>
        </a:prstGeom>
        <a:solidFill>
          <a:schemeClr val="accent4">
            <a:lumMod val="40000"/>
            <a:lumOff val="60000"/>
          </a:schemeClr>
        </a:solidFill>
        <a:ln>
          <a:solidFill>
            <a:schemeClr val="tx1">
              <a:lumMod val="85000"/>
              <a:lumOff val="15000"/>
            </a:schemeClr>
          </a:solidFill>
        </a:ln>
        <a:effectLst>
          <a:outerShdw blurRad="44450" dist="27940" dir="5400000" algn="ctr">
            <a:srgbClr val="000000">
              <a:alpha val="32000"/>
            </a:srgbClr>
          </a:outerShdw>
        </a:effectLst>
        <a:scene3d>
          <a:camera prst="orthographicFront"/>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scene3d>
            <a:camera prst="orthographicFront"/>
            <a:lightRig rig="threePt" dir="t"/>
          </a:scene3d>
          <a:sp3d/>
        </a:bodyPr>
        <a:lstStyle/>
        <a:p>
          <a:pPr algn="ctr"/>
          <a:fld id="{C3565D06-8C64-4392-8527-BFF58892FA46}" type="TxLink">
            <a:rPr lang="en-US" sz="1400" b="0" i="0" u="none" strike="noStrike">
              <a:ln>
                <a:solidFill>
                  <a:sysClr val="windowText" lastClr="000000"/>
                </a:solidFill>
              </a:ln>
              <a:solidFill>
                <a:srgbClr val="000000"/>
              </a:solidFill>
              <a:effectLst/>
              <a:latin typeface="+mj-lt"/>
              <a:cs typeface="Calibri"/>
            </a:rPr>
            <a:pPr algn="ctr"/>
            <a:t>125</a:t>
          </a:fld>
          <a:endParaRPr lang="en-IN" sz="2000" b="0">
            <a:ln>
              <a:solidFill>
                <a:sysClr val="windowText" lastClr="000000"/>
              </a:solidFill>
            </a:ln>
            <a:solidFill>
              <a:sysClr val="windowText" lastClr="000000"/>
            </a:solidFill>
            <a:effectLst/>
            <a:latin typeface="+mj-lt"/>
            <a:cs typeface="Arial" panose="020B0604020202020204" pitchFamily="34" charset="0"/>
          </a:endParaRPr>
        </a:p>
      </xdr:txBody>
    </xdr:sp>
    <xdr:clientData/>
  </xdr:twoCellAnchor>
  <xdr:twoCellAnchor>
    <xdr:from>
      <xdr:col>3</xdr:col>
      <xdr:colOff>152399</xdr:colOff>
      <xdr:row>6</xdr:row>
      <xdr:rowOff>76200</xdr:rowOff>
    </xdr:from>
    <xdr:to>
      <xdr:col>5</xdr:col>
      <xdr:colOff>38099</xdr:colOff>
      <xdr:row>8</xdr:row>
      <xdr:rowOff>88900</xdr:rowOff>
    </xdr:to>
    <xdr:sp macro="" textlink="">
      <xdr:nvSpPr>
        <xdr:cNvPr id="24" name="Rectangle: Rounded Corners 23">
          <a:extLst>
            <a:ext uri="{FF2B5EF4-FFF2-40B4-BE49-F238E27FC236}">
              <a16:creationId xmlns:a16="http://schemas.microsoft.com/office/drawing/2014/main" id="{000C4BEB-C85B-4F50-B9A9-5EF4E74C0A26}"/>
            </a:ext>
          </a:extLst>
        </xdr:cNvPr>
        <xdr:cNvSpPr/>
      </xdr:nvSpPr>
      <xdr:spPr>
        <a:xfrm>
          <a:off x="1981199" y="1181100"/>
          <a:ext cx="1104900" cy="381000"/>
        </a:xfrm>
        <a:prstGeom prst="roundRect">
          <a:avLst/>
        </a:prstGeom>
        <a:ln>
          <a:solidFill>
            <a:schemeClr val="tx1">
              <a:lumMod val="85000"/>
              <a:lumOff val="15000"/>
            </a:schemeClr>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scene3d>
            <a:camera prst="orthographicFront"/>
            <a:lightRig rig="threePt" dir="t"/>
          </a:scene3d>
          <a:sp3d/>
        </a:bodyPr>
        <a:lstStyle/>
        <a:p>
          <a:pPr algn="ctr"/>
          <a:r>
            <a:rPr lang="en-IN" sz="1400" b="0">
              <a:ln>
                <a:solidFill>
                  <a:sysClr val="windowText" lastClr="000000"/>
                </a:solidFill>
              </a:ln>
              <a:solidFill>
                <a:sysClr val="windowText" lastClr="000000"/>
              </a:solidFill>
              <a:effectLst/>
              <a:latin typeface="+mj-lt"/>
              <a:cs typeface="Arial" panose="020B0604020202020204" pitchFamily="34" charset="0"/>
            </a:rPr>
            <a:t>External</a:t>
          </a:r>
          <a:endParaRPr lang="en-IN" sz="1600" b="0">
            <a:ln>
              <a:solidFill>
                <a:sysClr val="windowText" lastClr="000000"/>
              </a:solidFill>
            </a:ln>
            <a:solidFill>
              <a:sysClr val="windowText" lastClr="000000"/>
            </a:solidFill>
            <a:effectLst/>
            <a:latin typeface="+mj-lt"/>
            <a:cs typeface="Arial" panose="020B0604020202020204" pitchFamily="34" charset="0"/>
          </a:endParaRPr>
        </a:p>
      </xdr:txBody>
    </xdr:sp>
    <xdr:clientData/>
  </xdr:twoCellAnchor>
  <xdr:twoCellAnchor>
    <xdr:from>
      <xdr:col>5</xdr:col>
      <xdr:colOff>139699</xdr:colOff>
      <xdr:row>6</xdr:row>
      <xdr:rowOff>63500</xdr:rowOff>
    </xdr:from>
    <xdr:to>
      <xdr:col>7</xdr:col>
      <xdr:colOff>25399</xdr:colOff>
      <xdr:row>8</xdr:row>
      <xdr:rowOff>76200</xdr:rowOff>
    </xdr:to>
    <xdr:sp macro="" textlink="'Pivots(Brnch)'!D52">
      <xdr:nvSpPr>
        <xdr:cNvPr id="25" name="Rectangle: Rounded Corners 24">
          <a:extLst>
            <a:ext uri="{FF2B5EF4-FFF2-40B4-BE49-F238E27FC236}">
              <a16:creationId xmlns:a16="http://schemas.microsoft.com/office/drawing/2014/main" id="{23EBED21-A438-45D1-A3C6-037D7A673953}"/>
            </a:ext>
          </a:extLst>
        </xdr:cNvPr>
        <xdr:cNvSpPr/>
      </xdr:nvSpPr>
      <xdr:spPr>
        <a:xfrm>
          <a:off x="3187699" y="1168400"/>
          <a:ext cx="1104900" cy="381000"/>
        </a:xfrm>
        <a:prstGeom prst="roundRect">
          <a:avLst/>
        </a:prstGeom>
        <a:solidFill>
          <a:schemeClr val="accent4">
            <a:lumMod val="40000"/>
            <a:lumOff val="60000"/>
          </a:schemeClr>
        </a:solidFill>
        <a:ln>
          <a:solidFill>
            <a:schemeClr val="tx1">
              <a:lumMod val="85000"/>
              <a:lumOff val="15000"/>
            </a:schemeClr>
          </a:solidFill>
        </a:ln>
        <a:effectLst>
          <a:outerShdw blurRad="44450" dist="27940" dir="5400000" algn="ctr">
            <a:srgbClr val="000000">
              <a:alpha val="32000"/>
            </a:srgbClr>
          </a:outerShdw>
        </a:effectLst>
        <a:scene3d>
          <a:camera prst="orthographicFront"/>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scene3d>
            <a:camera prst="orthographicFront"/>
            <a:lightRig rig="threePt" dir="t"/>
          </a:scene3d>
          <a:sp3d/>
        </a:bodyPr>
        <a:lstStyle/>
        <a:p>
          <a:pPr marL="0" indent="0" algn="ctr"/>
          <a:fld id="{D1E30C0B-B9D6-4F34-A14D-85EDC9544098}" type="TxLink">
            <a:rPr lang="en-US" sz="1400" b="0" i="0" u="none" strike="noStrike">
              <a:ln>
                <a:solidFill>
                  <a:sysClr val="windowText" lastClr="000000"/>
                </a:solidFill>
              </a:ln>
              <a:solidFill>
                <a:srgbClr val="000000"/>
              </a:solidFill>
              <a:effectLst/>
              <a:latin typeface="+mj-lt"/>
              <a:ea typeface="+mn-ea"/>
              <a:cs typeface="Calibri"/>
            </a:rPr>
            <a:pPr marL="0" indent="0" algn="ctr"/>
            <a:t>71</a:t>
          </a:fld>
          <a:endParaRPr lang="en-IN" sz="1400" b="0" i="0" u="none" strike="noStrike">
            <a:ln>
              <a:solidFill>
                <a:sysClr val="windowText" lastClr="000000"/>
              </a:solidFill>
            </a:ln>
            <a:solidFill>
              <a:srgbClr val="000000"/>
            </a:solidFill>
            <a:effectLst/>
            <a:latin typeface="+mj-lt"/>
            <a:ea typeface="+mn-ea"/>
            <a:cs typeface="Calibri"/>
          </a:endParaRPr>
        </a:p>
      </xdr:txBody>
    </xdr:sp>
    <xdr:clientData/>
  </xdr:twoCellAnchor>
  <xdr:twoCellAnchor>
    <xdr:from>
      <xdr:col>3</xdr:col>
      <xdr:colOff>101599</xdr:colOff>
      <xdr:row>5</xdr:row>
      <xdr:rowOff>152400</xdr:rowOff>
    </xdr:from>
    <xdr:to>
      <xdr:col>11</xdr:col>
      <xdr:colOff>101599</xdr:colOff>
      <xdr:row>5</xdr:row>
      <xdr:rowOff>158750</xdr:rowOff>
    </xdr:to>
    <xdr:cxnSp macro="">
      <xdr:nvCxnSpPr>
        <xdr:cNvPr id="32" name="Straight Connector 31">
          <a:extLst>
            <a:ext uri="{FF2B5EF4-FFF2-40B4-BE49-F238E27FC236}">
              <a16:creationId xmlns:a16="http://schemas.microsoft.com/office/drawing/2014/main" id="{C226A100-3157-4929-8DA1-42B99F2727F2}"/>
            </a:ext>
          </a:extLst>
        </xdr:cNvPr>
        <xdr:cNvCxnSpPr/>
      </xdr:nvCxnSpPr>
      <xdr:spPr>
        <a:xfrm>
          <a:off x="1930399" y="1073150"/>
          <a:ext cx="4876800" cy="6350"/>
        </a:xfrm>
        <a:prstGeom prst="line">
          <a:avLst/>
        </a:prstGeom>
        <a:ln w="12700">
          <a:prstDash val="sysDot"/>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101599</xdr:colOff>
      <xdr:row>8</xdr:row>
      <xdr:rowOff>171450</xdr:rowOff>
    </xdr:from>
    <xdr:to>
      <xdr:col>11</xdr:col>
      <xdr:colOff>101599</xdr:colOff>
      <xdr:row>9</xdr:row>
      <xdr:rowOff>6350</xdr:rowOff>
    </xdr:to>
    <xdr:cxnSp macro="">
      <xdr:nvCxnSpPr>
        <xdr:cNvPr id="33" name="Straight Connector 32">
          <a:extLst>
            <a:ext uri="{FF2B5EF4-FFF2-40B4-BE49-F238E27FC236}">
              <a16:creationId xmlns:a16="http://schemas.microsoft.com/office/drawing/2014/main" id="{C9413B35-FE7C-450A-AE64-100A00A06BE4}"/>
            </a:ext>
          </a:extLst>
        </xdr:cNvPr>
        <xdr:cNvCxnSpPr/>
      </xdr:nvCxnSpPr>
      <xdr:spPr>
        <a:xfrm flipV="1">
          <a:off x="1930399" y="1644650"/>
          <a:ext cx="4876800" cy="19050"/>
        </a:xfrm>
        <a:prstGeom prst="line">
          <a:avLst/>
        </a:prstGeom>
        <a:ln w="12700">
          <a:prstDash val="sysDot"/>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88899</xdr:colOff>
      <xdr:row>2</xdr:row>
      <xdr:rowOff>158750</xdr:rowOff>
    </xdr:from>
    <xdr:to>
      <xdr:col>7</xdr:col>
      <xdr:colOff>92074</xdr:colOff>
      <xdr:row>17</xdr:row>
      <xdr:rowOff>158750</xdr:rowOff>
    </xdr:to>
    <xdr:cxnSp macro="">
      <xdr:nvCxnSpPr>
        <xdr:cNvPr id="34" name="Straight Connector 33">
          <a:extLst>
            <a:ext uri="{FF2B5EF4-FFF2-40B4-BE49-F238E27FC236}">
              <a16:creationId xmlns:a16="http://schemas.microsoft.com/office/drawing/2014/main" id="{301AFD2A-95EB-4A44-B5DD-3469E6E37F7A}"/>
            </a:ext>
          </a:extLst>
        </xdr:cNvPr>
        <xdr:cNvCxnSpPr>
          <a:stCxn id="2" idx="0"/>
        </xdr:cNvCxnSpPr>
      </xdr:nvCxnSpPr>
      <xdr:spPr>
        <a:xfrm flipH="1">
          <a:off x="4356099" y="527050"/>
          <a:ext cx="3175" cy="2762250"/>
        </a:xfrm>
        <a:prstGeom prst="line">
          <a:avLst/>
        </a:prstGeom>
        <a:ln w="12700">
          <a:prstDash val="sysDot"/>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82549</xdr:colOff>
      <xdr:row>11</xdr:row>
      <xdr:rowOff>120650</xdr:rowOff>
    </xdr:from>
    <xdr:to>
      <xdr:col>11</xdr:col>
      <xdr:colOff>101599</xdr:colOff>
      <xdr:row>11</xdr:row>
      <xdr:rowOff>139700</xdr:rowOff>
    </xdr:to>
    <xdr:cxnSp macro="">
      <xdr:nvCxnSpPr>
        <xdr:cNvPr id="38" name="Straight Connector 37">
          <a:extLst>
            <a:ext uri="{FF2B5EF4-FFF2-40B4-BE49-F238E27FC236}">
              <a16:creationId xmlns:a16="http://schemas.microsoft.com/office/drawing/2014/main" id="{19547A5E-F9F5-4073-AD6A-B2E313066B50}"/>
            </a:ext>
          </a:extLst>
        </xdr:cNvPr>
        <xdr:cNvCxnSpPr/>
      </xdr:nvCxnSpPr>
      <xdr:spPr>
        <a:xfrm>
          <a:off x="1911349" y="2146300"/>
          <a:ext cx="4895850" cy="19050"/>
        </a:xfrm>
        <a:prstGeom prst="line">
          <a:avLst/>
        </a:prstGeom>
        <a:ln w="12700">
          <a:prstDash val="sysDot"/>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82549</xdr:colOff>
      <xdr:row>14</xdr:row>
      <xdr:rowOff>158750</xdr:rowOff>
    </xdr:from>
    <xdr:to>
      <xdr:col>11</xdr:col>
      <xdr:colOff>101599</xdr:colOff>
      <xdr:row>14</xdr:row>
      <xdr:rowOff>165100</xdr:rowOff>
    </xdr:to>
    <xdr:cxnSp macro="">
      <xdr:nvCxnSpPr>
        <xdr:cNvPr id="39" name="Straight Connector 38">
          <a:extLst>
            <a:ext uri="{FF2B5EF4-FFF2-40B4-BE49-F238E27FC236}">
              <a16:creationId xmlns:a16="http://schemas.microsoft.com/office/drawing/2014/main" id="{05FFD2F8-46A8-42F1-B5B1-434BD27855D3}"/>
            </a:ext>
          </a:extLst>
        </xdr:cNvPr>
        <xdr:cNvCxnSpPr/>
      </xdr:nvCxnSpPr>
      <xdr:spPr>
        <a:xfrm>
          <a:off x="1911349" y="2736850"/>
          <a:ext cx="4895850" cy="6350"/>
        </a:xfrm>
        <a:prstGeom prst="line">
          <a:avLst/>
        </a:prstGeom>
        <a:ln w="12700">
          <a:prstDash val="sysDot"/>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139699</xdr:colOff>
      <xdr:row>9</xdr:row>
      <xdr:rowOff>50800</xdr:rowOff>
    </xdr:from>
    <xdr:to>
      <xdr:col>5</xdr:col>
      <xdr:colOff>25399</xdr:colOff>
      <xdr:row>11</xdr:row>
      <xdr:rowOff>63500</xdr:rowOff>
    </xdr:to>
    <xdr:sp macro="" textlink="">
      <xdr:nvSpPr>
        <xdr:cNvPr id="47" name="Rectangle: Rounded Corners 46">
          <a:extLst>
            <a:ext uri="{FF2B5EF4-FFF2-40B4-BE49-F238E27FC236}">
              <a16:creationId xmlns:a16="http://schemas.microsoft.com/office/drawing/2014/main" id="{73E1CCB9-2BC9-4D18-8CE2-3728FFA26239}"/>
            </a:ext>
          </a:extLst>
        </xdr:cNvPr>
        <xdr:cNvSpPr/>
      </xdr:nvSpPr>
      <xdr:spPr>
        <a:xfrm>
          <a:off x="1968499" y="1708150"/>
          <a:ext cx="1104900" cy="381000"/>
        </a:xfrm>
        <a:prstGeom prst="roundRect">
          <a:avLst/>
        </a:prstGeom>
        <a:ln>
          <a:solidFill>
            <a:schemeClr val="tx1">
              <a:lumMod val="85000"/>
              <a:lumOff val="15000"/>
            </a:schemeClr>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scene3d>
            <a:camera prst="orthographicFront"/>
            <a:lightRig rig="threePt" dir="t"/>
          </a:scene3d>
          <a:sp3d/>
        </a:bodyPr>
        <a:lstStyle/>
        <a:p>
          <a:pPr algn="ctr"/>
          <a:r>
            <a:rPr lang="en-IN" sz="1400" b="0">
              <a:ln>
                <a:solidFill>
                  <a:sysClr val="windowText" lastClr="000000"/>
                </a:solidFill>
              </a:ln>
              <a:solidFill>
                <a:sysClr val="windowText" lastClr="000000"/>
              </a:solidFill>
              <a:effectLst/>
              <a:latin typeface="+mj-lt"/>
              <a:cs typeface="Arial" panose="020B0604020202020204" pitchFamily="34" charset="0"/>
            </a:rPr>
            <a:t>Interviews</a:t>
          </a:r>
          <a:endParaRPr lang="en-IN" sz="1600" b="0">
            <a:ln>
              <a:solidFill>
                <a:sysClr val="windowText" lastClr="000000"/>
              </a:solidFill>
            </a:ln>
            <a:solidFill>
              <a:sysClr val="windowText" lastClr="000000"/>
            </a:solidFill>
            <a:effectLst/>
            <a:latin typeface="+mj-lt"/>
            <a:cs typeface="Arial" panose="020B0604020202020204" pitchFamily="34" charset="0"/>
          </a:endParaRPr>
        </a:p>
      </xdr:txBody>
    </xdr:sp>
    <xdr:clientData/>
  </xdr:twoCellAnchor>
  <xdr:twoCellAnchor>
    <xdr:from>
      <xdr:col>5</xdr:col>
      <xdr:colOff>133349</xdr:colOff>
      <xdr:row>9</xdr:row>
      <xdr:rowOff>50800</xdr:rowOff>
    </xdr:from>
    <xdr:to>
      <xdr:col>7</xdr:col>
      <xdr:colOff>19049</xdr:colOff>
      <xdr:row>11</xdr:row>
      <xdr:rowOff>63500</xdr:rowOff>
    </xdr:to>
    <xdr:sp macro="" textlink="'Pivots(Brnch)'!E52">
      <xdr:nvSpPr>
        <xdr:cNvPr id="48" name="Rectangle: Rounded Corners 47">
          <a:extLst>
            <a:ext uri="{FF2B5EF4-FFF2-40B4-BE49-F238E27FC236}">
              <a16:creationId xmlns:a16="http://schemas.microsoft.com/office/drawing/2014/main" id="{21D4C0F0-030F-44B5-A965-19FAC45063E4}"/>
            </a:ext>
          </a:extLst>
        </xdr:cNvPr>
        <xdr:cNvSpPr/>
      </xdr:nvSpPr>
      <xdr:spPr>
        <a:xfrm>
          <a:off x="3181349" y="1708150"/>
          <a:ext cx="1104900" cy="381000"/>
        </a:xfrm>
        <a:prstGeom prst="roundRect">
          <a:avLst/>
        </a:prstGeom>
        <a:solidFill>
          <a:schemeClr val="accent4">
            <a:lumMod val="40000"/>
            <a:lumOff val="60000"/>
          </a:schemeClr>
        </a:solidFill>
        <a:ln>
          <a:solidFill>
            <a:schemeClr val="tx1">
              <a:lumMod val="85000"/>
              <a:lumOff val="15000"/>
            </a:schemeClr>
          </a:solidFill>
        </a:ln>
        <a:effectLst>
          <a:outerShdw blurRad="44450" dist="27940" dir="5400000" algn="ctr">
            <a:srgbClr val="000000">
              <a:alpha val="32000"/>
            </a:srgbClr>
          </a:outerShdw>
        </a:effectLst>
        <a:scene3d>
          <a:camera prst="orthographicFront"/>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scene3d>
            <a:camera prst="orthographicFront"/>
            <a:lightRig rig="threePt" dir="t"/>
          </a:scene3d>
          <a:sp3d/>
        </a:bodyPr>
        <a:lstStyle/>
        <a:p>
          <a:pPr marL="0" indent="0" algn="ctr"/>
          <a:fld id="{0FE69F54-019D-4D14-B998-43192B991A69}" type="TxLink">
            <a:rPr lang="en-US" sz="1400" b="0" i="0" u="none" strike="noStrike">
              <a:ln>
                <a:solidFill>
                  <a:sysClr val="windowText" lastClr="000000"/>
                </a:solidFill>
              </a:ln>
              <a:solidFill>
                <a:srgbClr val="000000"/>
              </a:solidFill>
              <a:effectLst/>
              <a:latin typeface="+mj-lt"/>
              <a:ea typeface="+mn-ea"/>
              <a:cs typeface="Calibri"/>
            </a:rPr>
            <a:pPr marL="0" indent="0" algn="ctr"/>
            <a:t>18</a:t>
          </a:fld>
          <a:endParaRPr lang="en-IN" sz="1400" b="0" i="0" u="none" strike="noStrike">
            <a:ln>
              <a:solidFill>
                <a:sysClr val="windowText" lastClr="000000"/>
              </a:solidFill>
            </a:ln>
            <a:solidFill>
              <a:srgbClr val="000000"/>
            </a:solidFill>
            <a:effectLst/>
            <a:latin typeface="+mj-lt"/>
            <a:ea typeface="+mn-ea"/>
            <a:cs typeface="Calibri"/>
          </a:endParaRPr>
        </a:p>
      </xdr:txBody>
    </xdr:sp>
    <xdr:clientData/>
  </xdr:twoCellAnchor>
  <xdr:twoCellAnchor>
    <xdr:from>
      <xdr:col>3</xdr:col>
      <xdr:colOff>146049</xdr:colOff>
      <xdr:row>12</xdr:row>
      <xdr:rowOff>76200</xdr:rowOff>
    </xdr:from>
    <xdr:to>
      <xdr:col>5</xdr:col>
      <xdr:colOff>31749</xdr:colOff>
      <xdr:row>14</xdr:row>
      <xdr:rowOff>88900</xdr:rowOff>
    </xdr:to>
    <xdr:sp macro="" textlink="">
      <xdr:nvSpPr>
        <xdr:cNvPr id="49" name="Rectangle: Rounded Corners 48">
          <a:extLst>
            <a:ext uri="{FF2B5EF4-FFF2-40B4-BE49-F238E27FC236}">
              <a16:creationId xmlns:a16="http://schemas.microsoft.com/office/drawing/2014/main" id="{AFCFC627-E8C4-4723-BAB9-7993C6DD161A}"/>
            </a:ext>
          </a:extLst>
        </xdr:cNvPr>
        <xdr:cNvSpPr/>
      </xdr:nvSpPr>
      <xdr:spPr>
        <a:xfrm>
          <a:off x="1974849" y="2286000"/>
          <a:ext cx="1104900" cy="381000"/>
        </a:xfrm>
        <a:prstGeom prst="roundRect">
          <a:avLst/>
        </a:prstGeom>
        <a:ln>
          <a:solidFill>
            <a:schemeClr val="tx1">
              <a:lumMod val="85000"/>
              <a:lumOff val="15000"/>
            </a:schemeClr>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scene3d>
            <a:camera prst="orthographicFront"/>
            <a:lightRig rig="threePt" dir="t"/>
          </a:scene3d>
          <a:sp3d/>
        </a:bodyPr>
        <a:lstStyle/>
        <a:p>
          <a:pPr algn="ctr"/>
          <a:r>
            <a:rPr lang="en-IN" sz="1400" b="0">
              <a:ln>
                <a:solidFill>
                  <a:sysClr val="windowText" lastClr="000000"/>
                </a:solidFill>
              </a:ln>
              <a:solidFill>
                <a:sysClr val="windowText" lastClr="000000"/>
              </a:solidFill>
              <a:effectLst/>
              <a:latin typeface="+mj-lt"/>
              <a:cs typeface="Arial" panose="020B0604020202020204" pitchFamily="34" charset="0"/>
            </a:rPr>
            <a:t>Hires</a:t>
          </a:r>
        </a:p>
      </xdr:txBody>
    </xdr:sp>
    <xdr:clientData/>
  </xdr:twoCellAnchor>
  <xdr:twoCellAnchor>
    <xdr:from>
      <xdr:col>5</xdr:col>
      <xdr:colOff>133349</xdr:colOff>
      <xdr:row>12</xdr:row>
      <xdr:rowOff>63500</xdr:rowOff>
    </xdr:from>
    <xdr:to>
      <xdr:col>7</xdr:col>
      <xdr:colOff>19049</xdr:colOff>
      <xdr:row>14</xdr:row>
      <xdr:rowOff>76200</xdr:rowOff>
    </xdr:to>
    <xdr:sp macro="" textlink="'Pivots(Brnch)'!F52">
      <xdr:nvSpPr>
        <xdr:cNvPr id="50" name="Rectangle: Rounded Corners 49">
          <a:extLst>
            <a:ext uri="{FF2B5EF4-FFF2-40B4-BE49-F238E27FC236}">
              <a16:creationId xmlns:a16="http://schemas.microsoft.com/office/drawing/2014/main" id="{E8CFBB38-4000-429D-84E1-6E4B98C96356}"/>
            </a:ext>
          </a:extLst>
        </xdr:cNvPr>
        <xdr:cNvSpPr/>
      </xdr:nvSpPr>
      <xdr:spPr>
        <a:xfrm>
          <a:off x="3181349" y="2273300"/>
          <a:ext cx="1104900" cy="381000"/>
        </a:xfrm>
        <a:prstGeom prst="roundRect">
          <a:avLst/>
        </a:prstGeom>
        <a:solidFill>
          <a:schemeClr val="accent4">
            <a:lumMod val="40000"/>
            <a:lumOff val="60000"/>
          </a:schemeClr>
        </a:solidFill>
        <a:ln>
          <a:solidFill>
            <a:schemeClr val="tx1">
              <a:lumMod val="85000"/>
              <a:lumOff val="15000"/>
            </a:schemeClr>
          </a:solidFill>
        </a:ln>
        <a:effectLst>
          <a:outerShdw blurRad="44450" dist="27940" dir="5400000" algn="ctr">
            <a:srgbClr val="000000">
              <a:alpha val="32000"/>
            </a:srgbClr>
          </a:outerShdw>
        </a:effectLst>
        <a:scene3d>
          <a:camera prst="orthographicFront"/>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scene3d>
            <a:camera prst="orthographicFront"/>
            <a:lightRig rig="threePt" dir="t"/>
          </a:scene3d>
          <a:sp3d/>
        </a:bodyPr>
        <a:lstStyle/>
        <a:p>
          <a:pPr marL="0" indent="0" algn="ctr"/>
          <a:fld id="{08AB1E7E-A4E6-473B-97B0-F7A786EDC800}" type="TxLink">
            <a:rPr lang="en-US" sz="1400" b="0" i="0" u="none" strike="noStrike">
              <a:ln>
                <a:solidFill>
                  <a:sysClr val="windowText" lastClr="000000"/>
                </a:solidFill>
              </a:ln>
              <a:solidFill>
                <a:srgbClr val="000000"/>
              </a:solidFill>
              <a:effectLst/>
              <a:latin typeface="+mj-lt"/>
              <a:ea typeface="+mn-ea"/>
              <a:cs typeface="Calibri"/>
            </a:rPr>
            <a:pPr marL="0" indent="0" algn="ctr"/>
            <a:t>4</a:t>
          </a:fld>
          <a:endParaRPr lang="en-IN" sz="1400" b="0" i="0" u="none" strike="noStrike">
            <a:ln>
              <a:solidFill>
                <a:sysClr val="windowText" lastClr="000000"/>
              </a:solidFill>
            </a:ln>
            <a:solidFill>
              <a:srgbClr val="000000"/>
            </a:solidFill>
            <a:effectLst/>
            <a:latin typeface="+mj-lt"/>
            <a:ea typeface="+mn-ea"/>
            <a:cs typeface="Calibri"/>
          </a:endParaRPr>
        </a:p>
      </xdr:txBody>
    </xdr:sp>
    <xdr:clientData/>
  </xdr:twoCellAnchor>
  <xdr:twoCellAnchor>
    <xdr:from>
      <xdr:col>3</xdr:col>
      <xdr:colOff>146049</xdr:colOff>
      <xdr:row>15</xdr:row>
      <xdr:rowOff>50800</xdr:rowOff>
    </xdr:from>
    <xdr:to>
      <xdr:col>5</xdr:col>
      <xdr:colOff>31749</xdr:colOff>
      <xdr:row>17</xdr:row>
      <xdr:rowOff>63500</xdr:rowOff>
    </xdr:to>
    <xdr:sp macro="" textlink="">
      <xdr:nvSpPr>
        <xdr:cNvPr id="51" name="Rectangle: Rounded Corners 50">
          <a:extLst>
            <a:ext uri="{FF2B5EF4-FFF2-40B4-BE49-F238E27FC236}">
              <a16:creationId xmlns:a16="http://schemas.microsoft.com/office/drawing/2014/main" id="{4526FC7F-E132-4F42-94D8-2BDA69808352}"/>
            </a:ext>
          </a:extLst>
        </xdr:cNvPr>
        <xdr:cNvSpPr/>
      </xdr:nvSpPr>
      <xdr:spPr>
        <a:xfrm>
          <a:off x="1974849" y="2813050"/>
          <a:ext cx="1104900" cy="381000"/>
        </a:xfrm>
        <a:prstGeom prst="roundRect">
          <a:avLst/>
        </a:prstGeom>
        <a:ln>
          <a:solidFill>
            <a:schemeClr val="tx1">
              <a:lumMod val="85000"/>
              <a:lumOff val="15000"/>
            </a:schemeClr>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scene3d>
            <a:camera prst="orthographicFront"/>
            <a:lightRig rig="threePt" dir="t"/>
          </a:scene3d>
          <a:sp3d/>
        </a:bodyPr>
        <a:lstStyle/>
        <a:p>
          <a:pPr algn="ctr"/>
          <a:r>
            <a:rPr lang="en-IN" sz="1400" b="0">
              <a:ln>
                <a:solidFill>
                  <a:sysClr val="windowText" lastClr="000000"/>
                </a:solidFill>
              </a:ln>
              <a:solidFill>
                <a:sysClr val="windowText" lastClr="000000"/>
              </a:solidFill>
              <a:effectLst/>
              <a:latin typeface="+mj-lt"/>
              <a:cs typeface="Arial" panose="020B0604020202020204" pitchFamily="34" charset="0"/>
            </a:rPr>
            <a:t>Notes</a:t>
          </a:r>
        </a:p>
      </xdr:txBody>
    </xdr:sp>
    <xdr:clientData/>
  </xdr:twoCellAnchor>
  <xdr:twoCellAnchor>
    <xdr:from>
      <xdr:col>5</xdr:col>
      <xdr:colOff>139699</xdr:colOff>
      <xdr:row>15</xdr:row>
      <xdr:rowOff>50800</xdr:rowOff>
    </xdr:from>
    <xdr:to>
      <xdr:col>7</xdr:col>
      <xdr:colOff>25399</xdr:colOff>
      <xdr:row>17</xdr:row>
      <xdr:rowOff>63500</xdr:rowOff>
    </xdr:to>
    <xdr:sp macro="" textlink="'Pivots(Brnch)'!J52">
      <xdr:nvSpPr>
        <xdr:cNvPr id="52" name="Rectangle: Rounded Corners 51">
          <a:extLst>
            <a:ext uri="{FF2B5EF4-FFF2-40B4-BE49-F238E27FC236}">
              <a16:creationId xmlns:a16="http://schemas.microsoft.com/office/drawing/2014/main" id="{3DCDD6A9-BA3F-432E-97B3-21F0BA1C8E3A}"/>
            </a:ext>
          </a:extLst>
        </xdr:cNvPr>
        <xdr:cNvSpPr/>
      </xdr:nvSpPr>
      <xdr:spPr>
        <a:xfrm>
          <a:off x="3187699" y="2813050"/>
          <a:ext cx="1104900" cy="381000"/>
        </a:xfrm>
        <a:prstGeom prst="roundRect">
          <a:avLst/>
        </a:prstGeom>
        <a:solidFill>
          <a:schemeClr val="accent4">
            <a:lumMod val="40000"/>
            <a:lumOff val="60000"/>
          </a:schemeClr>
        </a:solidFill>
        <a:ln>
          <a:solidFill>
            <a:schemeClr val="tx1">
              <a:lumMod val="85000"/>
              <a:lumOff val="15000"/>
            </a:schemeClr>
          </a:solidFill>
        </a:ln>
        <a:effectLst>
          <a:outerShdw blurRad="44450" dist="27940" dir="5400000" algn="ctr">
            <a:srgbClr val="000000">
              <a:alpha val="32000"/>
            </a:srgbClr>
          </a:outerShdw>
        </a:effectLst>
        <a:scene3d>
          <a:camera prst="orthographicFront"/>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scene3d>
            <a:camera prst="orthographicFront"/>
            <a:lightRig rig="threePt" dir="t"/>
          </a:scene3d>
          <a:sp3d/>
        </a:bodyPr>
        <a:lstStyle/>
        <a:p>
          <a:pPr marL="0" indent="0" algn="ctr"/>
          <a:fld id="{185B596A-7273-49F7-9C98-993D9821B574}" type="TxLink">
            <a:rPr lang="en-US" sz="1400" b="0" i="0" u="none" strike="noStrike">
              <a:ln>
                <a:solidFill>
                  <a:sysClr val="windowText" lastClr="000000"/>
                </a:solidFill>
              </a:ln>
              <a:solidFill>
                <a:srgbClr val="000000"/>
              </a:solidFill>
              <a:effectLst/>
              <a:latin typeface="+mj-lt"/>
              <a:ea typeface="+mn-ea"/>
              <a:cs typeface="Calibri"/>
            </a:rPr>
            <a:pPr marL="0" indent="0" algn="ctr"/>
            <a:t>10915</a:t>
          </a:fld>
          <a:endParaRPr lang="en-IN" sz="1400" b="0" i="0" u="none" strike="noStrike">
            <a:ln>
              <a:solidFill>
                <a:sysClr val="windowText" lastClr="000000"/>
              </a:solidFill>
            </a:ln>
            <a:solidFill>
              <a:srgbClr val="000000"/>
            </a:solidFill>
            <a:effectLst/>
            <a:latin typeface="+mj-lt"/>
            <a:ea typeface="+mn-ea"/>
            <a:cs typeface="Calibri"/>
          </a:endParaRPr>
        </a:p>
      </xdr:txBody>
    </xdr:sp>
    <xdr:clientData/>
  </xdr:twoCellAnchor>
  <xdr:twoCellAnchor>
    <xdr:from>
      <xdr:col>7</xdr:col>
      <xdr:colOff>146049</xdr:colOff>
      <xdr:row>3</xdr:row>
      <xdr:rowOff>50800</xdr:rowOff>
    </xdr:from>
    <xdr:to>
      <xdr:col>9</xdr:col>
      <xdr:colOff>31749</xdr:colOff>
      <xdr:row>5</xdr:row>
      <xdr:rowOff>63500</xdr:rowOff>
    </xdr:to>
    <xdr:sp macro="" textlink="">
      <xdr:nvSpPr>
        <xdr:cNvPr id="59" name="Rectangle: Rounded Corners 58">
          <a:extLst>
            <a:ext uri="{FF2B5EF4-FFF2-40B4-BE49-F238E27FC236}">
              <a16:creationId xmlns:a16="http://schemas.microsoft.com/office/drawing/2014/main" id="{F84BAE22-531E-43A4-969F-E72A3282FAFD}"/>
            </a:ext>
          </a:extLst>
        </xdr:cNvPr>
        <xdr:cNvSpPr/>
      </xdr:nvSpPr>
      <xdr:spPr>
        <a:xfrm>
          <a:off x="4413249" y="603250"/>
          <a:ext cx="1104900" cy="381000"/>
        </a:xfrm>
        <a:prstGeom prst="roundRect">
          <a:avLst/>
        </a:prstGeom>
        <a:ln>
          <a:solidFill>
            <a:schemeClr val="tx1">
              <a:lumMod val="85000"/>
              <a:lumOff val="15000"/>
            </a:schemeClr>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scene3d>
            <a:camera prst="orthographicFront"/>
            <a:lightRig rig="threePt" dir="t"/>
          </a:scene3d>
          <a:sp3d/>
        </a:bodyPr>
        <a:lstStyle/>
        <a:p>
          <a:pPr algn="ctr"/>
          <a:r>
            <a:rPr lang="en-IN" sz="1400" b="0">
              <a:ln>
                <a:solidFill>
                  <a:sysClr val="windowText" lastClr="000000"/>
                </a:solidFill>
              </a:ln>
              <a:solidFill>
                <a:sysClr val="windowText" lastClr="000000"/>
              </a:solidFill>
              <a:effectLst/>
              <a:latin typeface="+mj-lt"/>
              <a:cs typeface="Arial" panose="020B0604020202020204" pitchFamily="34" charset="0"/>
            </a:rPr>
            <a:t>Productivity</a:t>
          </a:r>
          <a:endParaRPr lang="en-IN" sz="1600" b="0">
            <a:ln>
              <a:solidFill>
                <a:sysClr val="windowText" lastClr="000000"/>
              </a:solidFill>
            </a:ln>
            <a:solidFill>
              <a:sysClr val="windowText" lastClr="000000"/>
            </a:solidFill>
            <a:effectLst/>
            <a:latin typeface="+mj-lt"/>
            <a:cs typeface="Arial" panose="020B0604020202020204" pitchFamily="34" charset="0"/>
          </a:endParaRPr>
        </a:p>
      </xdr:txBody>
    </xdr:sp>
    <xdr:clientData/>
  </xdr:twoCellAnchor>
  <xdr:twoCellAnchor>
    <xdr:from>
      <xdr:col>9</xdr:col>
      <xdr:colOff>139699</xdr:colOff>
      <xdr:row>3</xdr:row>
      <xdr:rowOff>50800</xdr:rowOff>
    </xdr:from>
    <xdr:to>
      <xdr:col>11</xdr:col>
      <xdr:colOff>25399</xdr:colOff>
      <xdr:row>5</xdr:row>
      <xdr:rowOff>63500</xdr:rowOff>
    </xdr:to>
    <xdr:sp macro="" textlink="'Pivots(Brnch)'!G52">
      <xdr:nvSpPr>
        <xdr:cNvPr id="60" name="Rectangle: Rounded Corners 59">
          <a:extLst>
            <a:ext uri="{FF2B5EF4-FFF2-40B4-BE49-F238E27FC236}">
              <a16:creationId xmlns:a16="http://schemas.microsoft.com/office/drawing/2014/main" id="{E48D399F-EBBA-45CB-8A5F-A9557007D30D}"/>
            </a:ext>
          </a:extLst>
        </xdr:cNvPr>
        <xdr:cNvSpPr/>
      </xdr:nvSpPr>
      <xdr:spPr>
        <a:xfrm>
          <a:off x="5626099" y="603250"/>
          <a:ext cx="1104900" cy="381000"/>
        </a:xfrm>
        <a:prstGeom prst="roundRect">
          <a:avLst/>
        </a:prstGeom>
        <a:solidFill>
          <a:schemeClr val="accent4">
            <a:lumMod val="40000"/>
            <a:lumOff val="60000"/>
          </a:schemeClr>
        </a:solidFill>
        <a:ln>
          <a:solidFill>
            <a:schemeClr val="tx1">
              <a:lumMod val="85000"/>
              <a:lumOff val="15000"/>
            </a:schemeClr>
          </a:solidFill>
        </a:ln>
        <a:effectLst>
          <a:outerShdw blurRad="44450" dist="27940" dir="5400000" algn="ctr">
            <a:srgbClr val="000000">
              <a:alpha val="32000"/>
            </a:srgbClr>
          </a:outerShdw>
        </a:effectLst>
        <a:scene3d>
          <a:camera prst="orthographicFront"/>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scene3d>
            <a:camera prst="orthographicFront"/>
            <a:lightRig rig="threePt" dir="t"/>
          </a:scene3d>
          <a:sp3d/>
        </a:bodyPr>
        <a:lstStyle/>
        <a:p>
          <a:pPr marL="0" indent="0" algn="ctr"/>
          <a:fld id="{4BF04230-C9BF-4998-A6CC-53AEB0BF0C6C}" type="TxLink">
            <a:rPr lang="en-US" sz="1400" b="0" i="0" u="none" strike="noStrike">
              <a:ln>
                <a:solidFill>
                  <a:sysClr val="windowText" lastClr="000000"/>
                </a:solidFill>
              </a:ln>
              <a:solidFill>
                <a:srgbClr val="000000"/>
              </a:solidFill>
              <a:effectLst/>
              <a:latin typeface="+mj-lt"/>
              <a:ea typeface="+mn-ea"/>
              <a:cs typeface="Calibri"/>
            </a:rPr>
            <a:pPr marL="0" indent="0" algn="ctr"/>
            <a:t>0.15</a:t>
          </a:fld>
          <a:endParaRPr lang="en-IN" sz="1400" b="0" i="0" u="none" strike="noStrike">
            <a:ln>
              <a:solidFill>
                <a:sysClr val="windowText" lastClr="000000"/>
              </a:solidFill>
            </a:ln>
            <a:solidFill>
              <a:srgbClr val="000000"/>
            </a:solidFill>
            <a:effectLst/>
            <a:latin typeface="+mj-lt"/>
            <a:ea typeface="+mn-ea"/>
            <a:cs typeface="Calibri"/>
          </a:endParaRPr>
        </a:p>
      </xdr:txBody>
    </xdr:sp>
    <xdr:clientData/>
  </xdr:twoCellAnchor>
  <xdr:twoCellAnchor>
    <xdr:from>
      <xdr:col>7</xdr:col>
      <xdr:colOff>152399</xdr:colOff>
      <xdr:row>6</xdr:row>
      <xdr:rowOff>76200</xdr:rowOff>
    </xdr:from>
    <xdr:to>
      <xdr:col>9</xdr:col>
      <xdr:colOff>38099</xdr:colOff>
      <xdr:row>8</xdr:row>
      <xdr:rowOff>88900</xdr:rowOff>
    </xdr:to>
    <xdr:sp macro="" textlink="">
      <xdr:nvSpPr>
        <xdr:cNvPr id="61" name="Rectangle: Rounded Corners 60">
          <a:extLst>
            <a:ext uri="{FF2B5EF4-FFF2-40B4-BE49-F238E27FC236}">
              <a16:creationId xmlns:a16="http://schemas.microsoft.com/office/drawing/2014/main" id="{ECB3DA0D-3335-4ECA-86A6-8423D75F7B07}"/>
            </a:ext>
          </a:extLst>
        </xdr:cNvPr>
        <xdr:cNvSpPr/>
      </xdr:nvSpPr>
      <xdr:spPr>
        <a:xfrm>
          <a:off x="4419599" y="1181100"/>
          <a:ext cx="1104900" cy="381000"/>
        </a:xfrm>
        <a:prstGeom prst="roundRect">
          <a:avLst/>
        </a:prstGeom>
        <a:ln>
          <a:solidFill>
            <a:schemeClr val="tx1">
              <a:lumMod val="85000"/>
              <a:lumOff val="15000"/>
            </a:schemeClr>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scene3d>
            <a:camera prst="orthographicFront"/>
            <a:lightRig rig="threePt" dir="t"/>
          </a:scene3d>
          <a:sp3d/>
        </a:bodyPr>
        <a:lstStyle/>
        <a:p>
          <a:pPr algn="ctr"/>
          <a:r>
            <a:rPr lang="en-IN" sz="1400" b="0">
              <a:ln>
                <a:solidFill>
                  <a:sysClr val="windowText" lastClr="000000"/>
                </a:solidFill>
              </a:ln>
              <a:solidFill>
                <a:sysClr val="windowText" lastClr="000000"/>
              </a:solidFill>
              <a:effectLst/>
              <a:latin typeface="+mj-lt"/>
              <a:cs typeface="Arial" panose="020B0604020202020204" pitchFamily="34" charset="0"/>
            </a:rPr>
            <a:t>SPR</a:t>
          </a:r>
          <a:endParaRPr lang="en-IN" sz="1600" b="0">
            <a:ln>
              <a:solidFill>
                <a:sysClr val="windowText" lastClr="000000"/>
              </a:solidFill>
            </a:ln>
            <a:solidFill>
              <a:sysClr val="windowText" lastClr="000000"/>
            </a:solidFill>
            <a:effectLst/>
            <a:latin typeface="+mj-lt"/>
            <a:cs typeface="Arial" panose="020B0604020202020204" pitchFamily="34" charset="0"/>
          </a:endParaRPr>
        </a:p>
      </xdr:txBody>
    </xdr:sp>
    <xdr:clientData/>
  </xdr:twoCellAnchor>
  <xdr:twoCellAnchor>
    <xdr:from>
      <xdr:col>9</xdr:col>
      <xdr:colOff>139699</xdr:colOff>
      <xdr:row>6</xdr:row>
      <xdr:rowOff>63500</xdr:rowOff>
    </xdr:from>
    <xdr:to>
      <xdr:col>11</xdr:col>
      <xdr:colOff>25399</xdr:colOff>
      <xdr:row>8</xdr:row>
      <xdr:rowOff>76200</xdr:rowOff>
    </xdr:to>
    <xdr:sp macro="" textlink="'Pivots(Brnch)'!H52">
      <xdr:nvSpPr>
        <xdr:cNvPr id="62" name="Rectangle: Rounded Corners 61">
          <a:extLst>
            <a:ext uri="{FF2B5EF4-FFF2-40B4-BE49-F238E27FC236}">
              <a16:creationId xmlns:a16="http://schemas.microsoft.com/office/drawing/2014/main" id="{11A739DA-1960-4906-B4B8-52D5A1959149}"/>
            </a:ext>
          </a:extLst>
        </xdr:cNvPr>
        <xdr:cNvSpPr/>
      </xdr:nvSpPr>
      <xdr:spPr>
        <a:xfrm>
          <a:off x="5626099" y="1168400"/>
          <a:ext cx="1104900" cy="381000"/>
        </a:xfrm>
        <a:prstGeom prst="roundRect">
          <a:avLst/>
        </a:prstGeom>
        <a:solidFill>
          <a:schemeClr val="accent4">
            <a:lumMod val="40000"/>
            <a:lumOff val="60000"/>
          </a:schemeClr>
        </a:solidFill>
        <a:ln>
          <a:solidFill>
            <a:schemeClr val="tx1">
              <a:lumMod val="85000"/>
              <a:lumOff val="15000"/>
            </a:schemeClr>
          </a:solidFill>
        </a:ln>
        <a:effectLst>
          <a:outerShdw blurRad="44450" dist="27940" dir="5400000" algn="ctr">
            <a:srgbClr val="000000">
              <a:alpha val="32000"/>
            </a:srgbClr>
          </a:outerShdw>
        </a:effectLst>
        <a:scene3d>
          <a:camera prst="orthographicFront"/>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scene3d>
            <a:camera prst="orthographicFront"/>
            <a:lightRig rig="threePt" dir="t"/>
          </a:scene3d>
          <a:sp3d/>
        </a:bodyPr>
        <a:lstStyle/>
        <a:p>
          <a:pPr marL="0" indent="0" algn="ctr"/>
          <a:fld id="{12D73BA7-528E-45D3-8435-D55B487E12B2}" type="TxLink">
            <a:rPr lang="en-US" sz="1400" b="0" i="0" u="none" strike="noStrike">
              <a:ln>
                <a:solidFill>
                  <a:sysClr val="windowText" lastClr="000000"/>
                </a:solidFill>
              </a:ln>
              <a:solidFill>
                <a:srgbClr val="000000"/>
              </a:solidFill>
              <a:effectLst/>
              <a:latin typeface="+mj-lt"/>
              <a:ea typeface="+mn-ea"/>
              <a:cs typeface="Calibri"/>
            </a:rPr>
            <a:pPr marL="0" indent="0" algn="ctr"/>
            <a:t>0.17</a:t>
          </a:fld>
          <a:endParaRPr lang="en-IN" sz="1400" b="0" i="0" u="none" strike="noStrike">
            <a:ln>
              <a:solidFill>
                <a:sysClr val="windowText" lastClr="000000"/>
              </a:solidFill>
            </a:ln>
            <a:solidFill>
              <a:srgbClr val="000000"/>
            </a:solidFill>
            <a:effectLst/>
            <a:latin typeface="+mj-lt"/>
            <a:ea typeface="+mn-ea"/>
            <a:cs typeface="Calibri"/>
          </a:endParaRPr>
        </a:p>
      </xdr:txBody>
    </xdr:sp>
    <xdr:clientData/>
  </xdr:twoCellAnchor>
  <xdr:twoCellAnchor>
    <xdr:from>
      <xdr:col>7</xdr:col>
      <xdr:colOff>139699</xdr:colOff>
      <xdr:row>9</xdr:row>
      <xdr:rowOff>50800</xdr:rowOff>
    </xdr:from>
    <xdr:to>
      <xdr:col>9</xdr:col>
      <xdr:colOff>25399</xdr:colOff>
      <xdr:row>11</xdr:row>
      <xdr:rowOff>63500</xdr:rowOff>
    </xdr:to>
    <xdr:sp macro="" textlink="">
      <xdr:nvSpPr>
        <xdr:cNvPr id="65" name="Rectangle: Rounded Corners 64">
          <a:extLst>
            <a:ext uri="{FF2B5EF4-FFF2-40B4-BE49-F238E27FC236}">
              <a16:creationId xmlns:a16="http://schemas.microsoft.com/office/drawing/2014/main" id="{A8D73F9C-ECBF-4B18-BEA4-38C92495A553}"/>
            </a:ext>
          </a:extLst>
        </xdr:cNvPr>
        <xdr:cNvSpPr/>
      </xdr:nvSpPr>
      <xdr:spPr>
        <a:xfrm>
          <a:off x="4406899" y="1708150"/>
          <a:ext cx="1104900" cy="381000"/>
        </a:xfrm>
        <a:prstGeom prst="roundRect">
          <a:avLst/>
        </a:prstGeom>
        <a:ln>
          <a:solidFill>
            <a:schemeClr val="tx1">
              <a:lumMod val="85000"/>
              <a:lumOff val="15000"/>
            </a:schemeClr>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scene3d>
            <a:camera prst="orthographicFront"/>
            <a:lightRig rig="threePt" dir="t"/>
          </a:scene3d>
          <a:sp3d/>
        </a:bodyPr>
        <a:lstStyle/>
        <a:p>
          <a:pPr algn="ctr"/>
          <a:r>
            <a:rPr lang="en-IN" sz="1400" b="0">
              <a:ln>
                <a:solidFill>
                  <a:sysClr val="windowText" lastClr="000000"/>
                </a:solidFill>
              </a:ln>
              <a:solidFill>
                <a:sysClr val="windowText" lastClr="000000"/>
              </a:solidFill>
              <a:effectLst/>
              <a:latin typeface="+mj-lt"/>
              <a:cs typeface="Arial" panose="020B0604020202020204" pitchFamily="34" charset="0"/>
            </a:rPr>
            <a:t>Conversion </a:t>
          </a:r>
          <a:endParaRPr lang="en-IN" sz="1600" b="0">
            <a:ln>
              <a:solidFill>
                <a:sysClr val="windowText" lastClr="000000"/>
              </a:solidFill>
            </a:ln>
            <a:solidFill>
              <a:sysClr val="windowText" lastClr="000000"/>
            </a:solidFill>
            <a:effectLst/>
            <a:latin typeface="+mj-lt"/>
            <a:cs typeface="Arial" panose="020B0604020202020204" pitchFamily="34" charset="0"/>
          </a:endParaRPr>
        </a:p>
      </xdr:txBody>
    </xdr:sp>
    <xdr:clientData/>
  </xdr:twoCellAnchor>
  <xdr:twoCellAnchor>
    <xdr:from>
      <xdr:col>9</xdr:col>
      <xdr:colOff>133349</xdr:colOff>
      <xdr:row>9</xdr:row>
      <xdr:rowOff>50800</xdr:rowOff>
    </xdr:from>
    <xdr:to>
      <xdr:col>11</xdr:col>
      <xdr:colOff>19049</xdr:colOff>
      <xdr:row>11</xdr:row>
      <xdr:rowOff>63500</xdr:rowOff>
    </xdr:to>
    <xdr:sp macro="" textlink="'Pivots(Brnch)'!I52">
      <xdr:nvSpPr>
        <xdr:cNvPr id="66" name="Rectangle: Rounded Corners 65">
          <a:extLst>
            <a:ext uri="{FF2B5EF4-FFF2-40B4-BE49-F238E27FC236}">
              <a16:creationId xmlns:a16="http://schemas.microsoft.com/office/drawing/2014/main" id="{4510C0C1-15CF-4149-884D-8A74F87AEBAE}"/>
            </a:ext>
          </a:extLst>
        </xdr:cNvPr>
        <xdr:cNvSpPr/>
      </xdr:nvSpPr>
      <xdr:spPr>
        <a:xfrm>
          <a:off x="5619749" y="1708150"/>
          <a:ext cx="1104900" cy="381000"/>
        </a:xfrm>
        <a:prstGeom prst="roundRect">
          <a:avLst/>
        </a:prstGeom>
        <a:solidFill>
          <a:schemeClr val="accent4">
            <a:lumMod val="40000"/>
            <a:lumOff val="60000"/>
          </a:schemeClr>
        </a:solidFill>
        <a:ln>
          <a:solidFill>
            <a:schemeClr val="tx1">
              <a:lumMod val="85000"/>
              <a:lumOff val="15000"/>
            </a:schemeClr>
          </a:solidFill>
        </a:ln>
        <a:effectLst>
          <a:outerShdw blurRad="44450" dist="27940" dir="5400000" algn="ctr">
            <a:srgbClr val="000000">
              <a:alpha val="32000"/>
            </a:srgbClr>
          </a:outerShdw>
        </a:effectLst>
        <a:scene3d>
          <a:camera prst="orthographicFront"/>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scene3d>
            <a:camera prst="orthographicFront"/>
            <a:lightRig rig="threePt" dir="t"/>
          </a:scene3d>
          <a:sp3d/>
        </a:bodyPr>
        <a:lstStyle/>
        <a:p>
          <a:pPr marL="0" indent="0" algn="ctr"/>
          <a:fld id="{6A20167C-0DEB-42A7-B7B7-B27EC8C92271}" type="TxLink">
            <a:rPr lang="en-US" sz="1400" b="0" i="0" u="none" strike="noStrike">
              <a:ln>
                <a:solidFill>
                  <a:sysClr val="windowText" lastClr="000000"/>
                </a:solidFill>
              </a:ln>
              <a:solidFill>
                <a:srgbClr val="000000"/>
              </a:solidFill>
              <a:effectLst/>
              <a:latin typeface="+mj-lt"/>
              <a:ea typeface="+mn-ea"/>
              <a:cs typeface="Calibri"/>
            </a:rPr>
            <a:pPr marL="0" indent="0" algn="ctr"/>
            <a:t>18</a:t>
          </a:fld>
          <a:endParaRPr lang="en-IN" sz="1400" b="0" i="0" u="none" strike="noStrike">
            <a:ln>
              <a:solidFill>
                <a:sysClr val="windowText" lastClr="000000"/>
              </a:solidFill>
            </a:ln>
            <a:solidFill>
              <a:srgbClr val="000000"/>
            </a:solidFill>
            <a:effectLst/>
            <a:latin typeface="+mj-lt"/>
            <a:ea typeface="+mn-ea"/>
            <a:cs typeface="Calibri"/>
          </a:endParaRPr>
        </a:p>
      </xdr:txBody>
    </xdr:sp>
    <xdr:clientData/>
  </xdr:twoCellAnchor>
  <xdr:twoCellAnchor>
    <xdr:from>
      <xdr:col>7</xdr:col>
      <xdr:colOff>146049</xdr:colOff>
      <xdr:row>12</xdr:row>
      <xdr:rowOff>76200</xdr:rowOff>
    </xdr:from>
    <xdr:to>
      <xdr:col>9</xdr:col>
      <xdr:colOff>31749</xdr:colOff>
      <xdr:row>14</xdr:row>
      <xdr:rowOff>88900</xdr:rowOff>
    </xdr:to>
    <xdr:sp macro="" textlink="">
      <xdr:nvSpPr>
        <xdr:cNvPr id="67" name="Rectangle: Rounded Corners 66">
          <a:extLst>
            <a:ext uri="{FF2B5EF4-FFF2-40B4-BE49-F238E27FC236}">
              <a16:creationId xmlns:a16="http://schemas.microsoft.com/office/drawing/2014/main" id="{A6CF2800-0736-443D-BBAF-6FA9D166AC88}"/>
            </a:ext>
          </a:extLst>
        </xdr:cNvPr>
        <xdr:cNvSpPr/>
      </xdr:nvSpPr>
      <xdr:spPr>
        <a:xfrm>
          <a:off x="4413249" y="2286000"/>
          <a:ext cx="1104900" cy="381000"/>
        </a:xfrm>
        <a:prstGeom prst="roundRect">
          <a:avLst/>
        </a:prstGeom>
        <a:ln>
          <a:solidFill>
            <a:schemeClr val="tx1">
              <a:lumMod val="85000"/>
              <a:lumOff val="15000"/>
            </a:schemeClr>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scene3d>
            <a:camera prst="orthographicFront"/>
            <a:lightRig rig="threePt" dir="t"/>
          </a:scene3d>
          <a:sp3d/>
        </a:bodyPr>
        <a:lstStyle/>
        <a:p>
          <a:pPr algn="ctr"/>
          <a:r>
            <a:rPr lang="en-IN" sz="1400" b="0">
              <a:ln>
                <a:solidFill>
                  <a:sysClr val="windowText" lastClr="000000"/>
                </a:solidFill>
              </a:ln>
              <a:solidFill>
                <a:sysClr val="windowText" lastClr="000000"/>
              </a:solidFill>
              <a:effectLst/>
              <a:latin typeface="+mj-lt"/>
              <a:cs typeface="Arial" panose="020B0604020202020204" pitchFamily="34" charset="0"/>
            </a:rPr>
            <a:t>Headcount</a:t>
          </a:r>
        </a:p>
      </xdr:txBody>
    </xdr:sp>
    <xdr:clientData/>
  </xdr:twoCellAnchor>
  <xdr:twoCellAnchor>
    <xdr:from>
      <xdr:col>9</xdr:col>
      <xdr:colOff>133349</xdr:colOff>
      <xdr:row>12</xdr:row>
      <xdr:rowOff>63500</xdr:rowOff>
    </xdr:from>
    <xdr:to>
      <xdr:col>11</xdr:col>
      <xdr:colOff>19049</xdr:colOff>
      <xdr:row>14</xdr:row>
      <xdr:rowOff>76200</xdr:rowOff>
    </xdr:to>
    <xdr:sp macro="" textlink="'Pivots(Brnch)'!K52">
      <xdr:nvSpPr>
        <xdr:cNvPr id="68" name="Rectangle: Rounded Corners 67">
          <a:extLst>
            <a:ext uri="{FF2B5EF4-FFF2-40B4-BE49-F238E27FC236}">
              <a16:creationId xmlns:a16="http://schemas.microsoft.com/office/drawing/2014/main" id="{767A3F60-AB18-48C0-B5A3-ED136924EC85}"/>
            </a:ext>
          </a:extLst>
        </xdr:cNvPr>
        <xdr:cNvSpPr/>
      </xdr:nvSpPr>
      <xdr:spPr>
        <a:xfrm>
          <a:off x="5619749" y="2273300"/>
          <a:ext cx="1104900" cy="381000"/>
        </a:xfrm>
        <a:prstGeom prst="roundRect">
          <a:avLst/>
        </a:prstGeom>
        <a:solidFill>
          <a:schemeClr val="accent4">
            <a:lumMod val="40000"/>
            <a:lumOff val="60000"/>
          </a:schemeClr>
        </a:solidFill>
        <a:ln>
          <a:solidFill>
            <a:schemeClr val="tx1">
              <a:lumMod val="85000"/>
              <a:lumOff val="15000"/>
            </a:schemeClr>
          </a:solidFill>
        </a:ln>
        <a:effectLst>
          <a:outerShdw blurRad="44450" dist="27940" dir="5400000" algn="ctr">
            <a:srgbClr val="000000">
              <a:alpha val="32000"/>
            </a:srgbClr>
          </a:outerShdw>
        </a:effectLst>
        <a:scene3d>
          <a:camera prst="orthographicFront"/>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scene3d>
            <a:camera prst="orthographicFront"/>
            <a:lightRig rig="threePt" dir="t"/>
          </a:scene3d>
          <a:sp3d/>
        </a:bodyPr>
        <a:lstStyle/>
        <a:p>
          <a:pPr marL="0" indent="0" algn="ctr"/>
          <a:fld id="{8C6160CA-95A2-4E4F-9837-216FC2CF5216}" type="TxLink">
            <a:rPr lang="en-US" sz="1400" b="0" i="0" u="none" strike="noStrike">
              <a:ln>
                <a:solidFill>
                  <a:sysClr val="windowText" lastClr="000000"/>
                </a:solidFill>
              </a:ln>
              <a:solidFill>
                <a:srgbClr val="000000"/>
              </a:solidFill>
              <a:effectLst/>
              <a:latin typeface="+mj-lt"/>
              <a:ea typeface="+mn-ea"/>
              <a:cs typeface="Calibri"/>
            </a:rPr>
            <a:pPr marL="0" indent="0" algn="ctr"/>
            <a:t>23</a:t>
          </a:fld>
          <a:endParaRPr lang="en-IN" sz="1400" b="0" i="0" u="none" strike="noStrike">
            <a:ln>
              <a:solidFill>
                <a:sysClr val="windowText" lastClr="000000"/>
              </a:solidFill>
            </a:ln>
            <a:solidFill>
              <a:srgbClr val="000000"/>
            </a:solidFill>
            <a:effectLst/>
            <a:latin typeface="+mj-lt"/>
            <a:ea typeface="+mn-ea"/>
            <a:cs typeface="Calibri"/>
          </a:endParaRPr>
        </a:p>
      </xdr:txBody>
    </xdr:sp>
    <xdr:clientData/>
  </xdr:twoCellAnchor>
  <xdr:twoCellAnchor editAs="oneCell">
    <xdr:from>
      <xdr:col>0</xdr:col>
      <xdr:colOff>146050</xdr:colOff>
      <xdr:row>0</xdr:row>
      <xdr:rowOff>88900</xdr:rowOff>
    </xdr:from>
    <xdr:to>
      <xdr:col>3</xdr:col>
      <xdr:colOff>19050</xdr:colOff>
      <xdr:row>2</xdr:row>
      <xdr:rowOff>101600</xdr:rowOff>
    </xdr:to>
    <xdr:pic>
      <xdr:nvPicPr>
        <xdr:cNvPr id="90" name="Picture 89">
          <a:extLst>
            <a:ext uri="{FF2B5EF4-FFF2-40B4-BE49-F238E27FC236}">
              <a16:creationId xmlns:a16="http://schemas.microsoft.com/office/drawing/2014/main" id="{54E7C2CC-7659-419B-B5DA-25728FABAFF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6050" y="88900"/>
          <a:ext cx="1701800" cy="381000"/>
        </a:xfrm>
        <a:prstGeom prst="rect">
          <a:avLst/>
        </a:prstGeom>
      </xdr:spPr>
    </xdr:pic>
    <xdr:clientData/>
  </xdr:twoCellAnchor>
  <xdr:twoCellAnchor>
    <xdr:from>
      <xdr:col>3</xdr:col>
      <xdr:colOff>101600</xdr:colOff>
      <xdr:row>0</xdr:row>
      <xdr:rowOff>57150</xdr:rowOff>
    </xdr:from>
    <xdr:to>
      <xdr:col>11</xdr:col>
      <xdr:colOff>107950</xdr:colOff>
      <xdr:row>2</xdr:row>
      <xdr:rowOff>82550</xdr:rowOff>
    </xdr:to>
    <xdr:sp macro="" textlink="" fLocksText="0">
      <xdr:nvSpPr>
        <xdr:cNvPr id="3" name="Rectangle 2">
          <a:extLst>
            <a:ext uri="{FF2B5EF4-FFF2-40B4-BE49-F238E27FC236}">
              <a16:creationId xmlns:a16="http://schemas.microsoft.com/office/drawing/2014/main" id="{E027CE86-14A0-40EC-9363-FF01E4CFF789}"/>
            </a:ext>
          </a:extLst>
        </xdr:cNvPr>
        <xdr:cNvSpPr/>
      </xdr:nvSpPr>
      <xdr:spPr>
        <a:xfrm>
          <a:off x="1930400" y="57150"/>
          <a:ext cx="4883150" cy="393700"/>
        </a:xfrm>
        <a:prstGeom prst="rect">
          <a:avLst/>
        </a:prstGeom>
        <a:ln w="28575">
          <a:solidFill>
            <a:schemeClr val="tx1"/>
          </a:solidFill>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ctr"/>
          <a:r>
            <a:rPr lang="en-IN" sz="2000" b="1">
              <a:solidFill>
                <a:schemeClr val="lt1"/>
              </a:solidFill>
              <a:latin typeface="+mj-lt"/>
              <a:ea typeface="+mn-ea"/>
              <a:cs typeface="+mn-cs"/>
            </a:rPr>
            <a:t>Team Wise Recruiter Productivity</a:t>
          </a:r>
        </a:p>
      </xdr:txBody>
    </xdr:sp>
    <xdr:clientData fLocksWithSheet="0" fPrintsWithSheet="0"/>
  </xdr:twoCellAnchor>
  <xdr:twoCellAnchor>
    <xdr:from>
      <xdr:col>3</xdr:col>
      <xdr:colOff>95250</xdr:colOff>
      <xdr:row>18</xdr:row>
      <xdr:rowOff>107950</xdr:rowOff>
    </xdr:from>
    <xdr:to>
      <xdr:col>11</xdr:col>
      <xdr:colOff>101600</xdr:colOff>
      <xdr:row>31</xdr:row>
      <xdr:rowOff>88900</xdr:rowOff>
    </xdr:to>
    <xdr:graphicFrame macro="">
      <xdr:nvGraphicFramePr>
        <xdr:cNvPr id="29" name="Chart 28">
          <a:extLst>
            <a:ext uri="{FF2B5EF4-FFF2-40B4-BE49-F238E27FC236}">
              <a16:creationId xmlns:a16="http://schemas.microsoft.com/office/drawing/2014/main" id="{521B3214-9FAC-4940-ADE0-61FFA457F9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177799</xdr:colOff>
      <xdr:row>15</xdr:row>
      <xdr:rowOff>38100</xdr:rowOff>
    </xdr:from>
    <xdr:to>
      <xdr:col>9</xdr:col>
      <xdr:colOff>63499</xdr:colOff>
      <xdr:row>17</xdr:row>
      <xdr:rowOff>127000</xdr:rowOff>
    </xdr:to>
    <xdr:sp macro="" textlink="">
      <xdr:nvSpPr>
        <xdr:cNvPr id="30" name="Rectangle: Rounded Corners 29">
          <a:extLst>
            <a:ext uri="{FF2B5EF4-FFF2-40B4-BE49-F238E27FC236}">
              <a16:creationId xmlns:a16="http://schemas.microsoft.com/office/drawing/2014/main" id="{407A355F-F985-44B5-B702-26220C7A94DE}"/>
            </a:ext>
          </a:extLst>
        </xdr:cNvPr>
        <xdr:cNvSpPr/>
      </xdr:nvSpPr>
      <xdr:spPr>
        <a:xfrm>
          <a:off x="4444999" y="2800350"/>
          <a:ext cx="1104900" cy="457200"/>
        </a:xfrm>
        <a:prstGeom prst="roundRect">
          <a:avLst/>
        </a:prstGeom>
        <a:ln>
          <a:solidFill>
            <a:schemeClr val="tx1">
              <a:lumMod val="85000"/>
              <a:lumOff val="15000"/>
            </a:schemeClr>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scene3d>
            <a:camera prst="orthographicFront"/>
            <a:lightRig rig="threePt" dir="t"/>
          </a:scene3d>
          <a:sp3d/>
        </a:bodyPr>
        <a:lstStyle/>
        <a:p>
          <a:pPr algn="ctr"/>
          <a:r>
            <a:rPr lang="en-IN" sz="1000" b="0">
              <a:ln>
                <a:solidFill>
                  <a:sysClr val="windowText" lastClr="000000"/>
                </a:solidFill>
              </a:ln>
              <a:solidFill>
                <a:sysClr val="windowText" lastClr="000000"/>
              </a:solidFill>
              <a:effectLst/>
              <a:latin typeface="+mj-lt"/>
              <a:cs typeface="Arial" panose="020B0604020202020204" pitchFamily="34" charset="0"/>
            </a:rPr>
            <a:t>Avg.</a:t>
          </a:r>
          <a:r>
            <a:rPr lang="en-IN" sz="1000" b="0" baseline="0">
              <a:ln>
                <a:solidFill>
                  <a:sysClr val="windowText" lastClr="000000"/>
                </a:solidFill>
              </a:ln>
              <a:solidFill>
                <a:sysClr val="windowText" lastClr="000000"/>
              </a:solidFill>
              <a:effectLst/>
              <a:latin typeface="+mj-lt"/>
              <a:cs typeface="Arial" panose="020B0604020202020204" pitchFamily="34" charset="0"/>
            </a:rPr>
            <a:t> Login Hours</a:t>
          </a:r>
          <a:endParaRPr lang="en-IN" sz="1000" b="0">
            <a:ln>
              <a:solidFill>
                <a:sysClr val="windowText" lastClr="000000"/>
              </a:solidFill>
            </a:ln>
            <a:solidFill>
              <a:sysClr val="windowText" lastClr="000000"/>
            </a:solidFill>
            <a:effectLst/>
            <a:latin typeface="+mj-lt"/>
            <a:cs typeface="Arial" panose="020B0604020202020204" pitchFamily="34" charset="0"/>
          </a:endParaRPr>
        </a:p>
      </xdr:txBody>
    </xdr:sp>
    <xdr:clientData/>
  </xdr:twoCellAnchor>
  <xdr:twoCellAnchor>
    <xdr:from>
      <xdr:col>9</xdr:col>
      <xdr:colOff>165099</xdr:colOff>
      <xdr:row>15</xdr:row>
      <xdr:rowOff>44450</xdr:rowOff>
    </xdr:from>
    <xdr:to>
      <xdr:col>11</xdr:col>
      <xdr:colOff>50799</xdr:colOff>
      <xdr:row>17</xdr:row>
      <xdr:rowOff>57150</xdr:rowOff>
    </xdr:to>
    <xdr:sp macro="" textlink="'Pivots(Brnch)'!L52">
      <xdr:nvSpPr>
        <xdr:cNvPr id="31" name="Rectangle: Rounded Corners 30">
          <a:extLst>
            <a:ext uri="{FF2B5EF4-FFF2-40B4-BE49-F238E27FC236}">
              <a16:creationId xmlns:a16="http://schemas.microsoft.com/office/drawing/2014/main" id="{CAE80D23-2127-413D-A93C-E3AB4785C70E}"/>
            </a:ext>
          </a:extLst>
        </xdr:cNvPr>
        <xdr:cNvSpPr/>
      </xdr:nvSpPr>
      <xdr:spPr>
        <a:xfrm>
          <a:off x="5651499" y="2806700"/>
          <a:ext cx="1104900" cy="381000"/>
        </a:xfrm>
        <a:prstGeom prst="roundRect">
          <a:avLst/>
        </a:prstGeom>
        <a:solidFill>
          <a:schemeClr val="accent4">
            <a:lumMod val="40000"/>
            <a:lumOff val="60000"/>
          </a:schemeClr>
        </a:solidFill>
        <a:ln>
          <a:solidFill>
            <a:schemeClr val="tx1">
              <a:lumMod val="85000"/>
              <a:lumOff val="15000"/>
            </a:schemeClr>
          </a:solidFill>
        </a:ln>
        <a:effectLst>
          <a:outerShdw blurRad="44450" dist="27940" dir="5400000" algn="ctr">
            <a:srgbClr val="000000">
              <a:alpha val="32000"/>
            </a:srgbClr>
          </a:outerShdw>
        </a:effectLst>
        <a:scene3d>
          <a:camera prst="orthographicFront"/>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scene3d>
            <a:camera prst="orthographicFront"/>
            <a:lightRig rig="threePt" dir="t"/>
          </a:scene3d>
          <a:sp3d/>
        </a:bodyPr>
        <a:lstStyle/>
        <a:p>
          <a:pPr marL="0" indent="0" algn="ctr"/>
          <a:fld id="{5446BAB7-7E4C-49BF-BE28-A0FAD725003E}" type="TxLink">
            <a:rPr lang="en-US" sz="1400" b="0" i="0" u="none" strike="noStrike">
              <a:ln>
                <a:solidFill>
                  <a:sysClr val="windowText" lastClr="000000"/>
                </a:solidFill>
              </a:ln>
              <a:solidFill>
                <a:srgbClr val="000000"/>
              </a:solidFill>
              <a:effectLst/>
              <a:latin typeface="+mj-lt"/>
              <a:ea typeface="+mn-ea"/>
              <a:cs typeface="Calibri"/>
            </a:rPr>
            <a:pPr marL="0" indent="0" algn="ctr"/>
            <a:t>91:14:18</a:t>
          </a:fld>
          <a:endParaRPr lang="en-IN" sz="1400" b="0" i="0" u="none" strike="noStrike">
            <a:ln>
              <a:solidFill>
                <a:sysClr val="windowText" lastClr="000000"/>
              </a:solidFill>
            </a:ln>
            <a:solidFill>
              <a:srgbClr val="000000"/>
            </a:solidFill>
            <a:effectLst/>
            <a:latin typeface="+mj-lt"/>
            <a:ea typeface="+mn-ea"/>
            <a:cs typeface="Calibri"/>
          </a:endParaRPr>
        </a:p>
      </xdr:txBody>
    </xdr:sp>
    <xdr:clientData/>
  </xdr:twoCellAnchor>
  <xdr:twoCellAnchor>
    <xdr:from>
      <xdr:col>13</xdr:col>
      <xdr:colOff>127000</xdr:colOff>
      <xdr:row>5</xdr:row>
      <xdr:rowOff>79374</xdr:rowOff>
    </xdr:from>
    <xdr:to>
      <xdr:col>20</xdr:col>
      <xdr:colOff>233363</xdr:colOff>
      <xdr:row>20</xdr:row>
      <xdr:rowOff>84137</xdr:rowOff>
    </xdr:to>
    <xdr:graphicFrame macro="">
      <xdr:nvGraphicFramePr>
        <xdr:cNvPr id="35" name="Chart 34">
          <a:extLst>
            <a:ext uri="{FF2B5EF4-FFF2-40B4-BE49-F238E27FC236}">
              <a16:creationId xmlns:a16="http://schemas.microsoft.com/office/drawing/2014/main" id="{D4EF01DF-FE93-41C1-B9EE-C1C1AC1D96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79375</xdr:colOff>
      <xdr:row>3</xdr:row>
      <xdr:rowOff>31750</xdr:rowOff>
    </xdr:from>
    <xdr:to>
      <xdr:col>20</xdr:col>
      <xdr:colOff>190500</xdr:colOff>
      <xdr:row>4</xdr:row>
      <xdr:rowOff>150813</xdr:rowOff>
    </xdr:to>
    <xdr:sp macro="" textlink="" fLocksText="0">
      <xdr:nvSpPr>
        <xdr:cNvPr id="37" name="Rectangle 36">
          <a:extLst>
            <a:ext uri="{FF2B5EF4-FFF2-40B4-BE49-F238E27FC236}">
              <a16:creationId xmlns:a16="http://schemas.microsoft.com/office/drawing/2014/main" id="{6A6725FC-8C2B-407F-B2A1-F00D4251BE29}"/>
            </a:ext>
          </a:extLst>
        </xdr:cNvPr>
        <xdr:cNvSpPr/>
      </xdr:nvSpPr>
      <xdr:spPr>
        <a:xfrm>
          <a:off x="6992938" y="579438"/>
          <a:ext cx="4389437" cy="301625"/>
        </a:xfrm>
        <a:prstGeom prst="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marL="0" indent="0" algn="ctr"/>
          <a:r>
            <a:rPr lang="en-IN" sz="1600" b="1">
              <a:solidFill>
                <a:schemeClr val="lt1"/>
              </a:solidFill>
              <a:latin typeface="+mj-lt"/>
              <a:ea typeface="+mn-ea"/>
              <a:cs typeface="+mn-cs"/>
            </a:rPr>
            <a:t>Last Three</a:t>
          </a:r>
          <a:r>
            <a:rPr lang="en-IN" sz="1600" b="1" baseline="0">
              <a:solidFill>
                <a:schemeClr val="lt1"/>
              </a:solidFill>
              <a:latin typeface="+mj-lt"/>
              <a:ea typeface="+mn-ea"/>
              <a:cs typeface="+mn-cs"/>
            </a:rPr>
            <a:t> Months Hires</a:t>
          </a:r>
          <a:endParaRPr lang="en-IN" sz="1600" b="1">
            <a:solidFill>
              <a:schemeClr val="lt1"/>
            </a:solidFill>
            <a:latin typeface="+mj-lt"/>
            <a:ea typeface="+mn-ea"/>
            <a:cs typeface="+mn-cs"/>
          </a:endParaRPr>
        </a:p>
      </xdr:txBody>
    </xdr:sp>
    <xdr:clientData fLocksWithSheet="0" fPrintsWithSheet="0"/>
  </xdr:twoCellAnchor>
</xdr:wsDr>
</file>

<file path=xl/drawings/drawing3.xml><?xml version="1.0" encoding="utf-8"?>
<xdr:wsDr xmlns:xdr="http://schemas.openxmlformats.org/drawingml/2006/spreadsheetDrawing" xmlns:a="http://schemas.openxmlformats.org/drawingml/2006/main">
  <xdr:twoCellAnchor>
    <xdr:from>
      <xdr:col>3</xdr:col>
      <xdr:colOff>771525</xdr:colOff>
      <xdr:row>3</xdr:row>
      <xdr:rowOff>146050</xdr:rowOff>
    </xdr:from>
    <xdr:to>
      <xdr:col>7</xdr:col>
      <xdr:colOff>482600</xdr:colOff>
      <xdr:row>18</xdr:row>
      <xdr:rowOff>127000</xdr:rowOff>
    </xdr:to>
    <xdr:graphicFrame macro="">
      <xdr:nvGraphicFramePr>
        <xdr:cNvPr id="4" name="Chart 3">
          <a:extLst>
            <a:ext uri="{FF2B5EF4-FFF2-40B4-BE49-F238E27FC236}">
              <a16:creationId xmlns:a16="http://schemas.microsoft.com/office/drawing/2014/main" id="{498B2FF6-1841-4A76-8073-B4632182424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717550</xdr:colOff>
      <xdr:row>5</xdr:row>
      <xdr:rowOff>127000</xdr:rowOff>
    </xdr:from>
    <xdr:to>
      <xdr:col>2</xdr:col>
      <xdr:colOff>596900</xdr:colOff>
      <xdr:row>19</xdr:row>
      <xdr:rowOff>73025</xdr:rowOff>
    </xdr:to>
    <mc:AlternateContent xmlns:mc="http://schemas.openxmlformats.org/markup-compatibility/2006" xmlns:a14="http://schemas.microsoft.com/office/drawing/2010/main">
      <mc:Choice Requires="a14">
        <xdr:graphicFrame macro="">
          <xdr:nvGraphicFramePr>
            <xdr:cNvPr id="5" name="Division 2">
              <a:extLst>
                <a:ext uri="{FF2B5EF4-FFF2-40B4-BE49-F238E27FC236}">
                  <a16:creationId xmlns:a16="http://schemas.microsoft.com/office/drawing/2014/main" id="{27B9DD3C-3AB0-4141-9F76-191995F5212A}"/>
                </a:ext>
              </a:extLst>
            </xdr:cNvPr>
            <xdr:cNvGraphicFramePr/>
          </xdr:nvGraphicFramePr>
          <xdr:xfrm>
            <a:off x="0" y="0"/>
            <a:ext cx="0" cy="0"/>
          </xdr:xfrm>
          <a:graphic>
            <a:graphicData uri="http://schemas.microsoft.com/office/drawing/2010/slicer">
              <sle:slicer xmlns:sle="http://schemas.microsoft.com/office/drawing/2010/slicer" name="Division 2"/>
            </a:graphicData>
          </a:graphic>
        </xdr:graphicFrame>
      </mc:Choice>
      <mc:Fallback xmlns="">
        <xdr:sp macro="" textlink="">
          <xdr:nvSpPr>
            <xdr:cNvPr id="0" name=""/>
            <xdr:cNvSpPr>
              <a:spLocks noTextEdit="1"/>
            </xdr:cNvSpPr>
          </xdr:nvSpPr>
          <xdr:spPr>
            <a:xfrm>
              <a:off x="527050" y="104775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epak Kumar2" refreshedDate="45194.553016087964" missingItemsLimit="0" createdVersion="5" refreshedVersion="6" minRefreshableVersion="3" recordCount="367" xr:uid="{00000000-000A-0000-FFFF-FFFF00000000}">
  <cacheSource type="worksheet">
    <worksheetSource name="Pivot_rng"/>
  </cacheSource>
  <cacheFields count="18">
    <cacheField name="Manager" numFmtId="0">
      <sharedItems count="98">
        <s v="AD-Chandan Burnwal"/>
        <s v="AT-Anuj Agrawal"/>
        <s v="AT-Prabhat Kumar"/>
        <s v="AT-Pragati Malhotra"/>
        <s v="AS-DC-Harsh Rathore"/>
        <s v="AS-DC-Muneeb Rehman"/>
        <s v="AS-Gautam Kumar"/>
        <s v="AS-HD-Arvind Bhatt"/>
        <s v="AS-HD-Dishank Jain"/>
        <s v="AS-HD-DJ-Ankesh Kumar"/>
        <s v="AS-HD-DJ-Shaelendra Yadav"/>
        <s v="AS-HD-Lakshya Bhardwaj"/>
        <s v="AS-HD-Sahil Bedi"/>
        <s v="AS-HD-SK-Kajol Srivastava"/>
        <s v="AS-HD-SK-Paromita Biswas"/>
        <s v="AS-PKH-DD-Prashant Mishra"/>
        <s v="AS-MA- Anamika Jain"/>
        <s v="AS-MA- Deepak Jadon"/>
        <s v="AS-MA- Mayank Aggarwal"/>
        <s v="AS-MA-Ashish Singh"/>
        <s v="AS-MA-Chetan Goel"/>
        <s v="AS-MA-Darshan Sah"/>
        <s v="AS-MA-Himani Sharma"/>
        <s v="AS-MA-Mamta Rani"/>
        <s v="AS-MA-Manish Chauhan"/>
        <s v="AS-MA-Reshma Siddiqui"/>
        <s v="AS-MA-Shrey Sharma"/>
        <s v="AS-MA-Vimal Shukla"/>
        <s v="AS-MA-Yash Mittal"/>
        <s v="AS-MA-Yatin Pandit"/>
        <s v="AS-PKH-DD-Altimetrik"/>
        <s v="AS-PKH-DD-Ravi Rajput"/>
        <s v="AS-PKH-DD-VD-Faraz Khan"/>
        <s v="AS-PKH-DD-VD-Sonali Thakur"/>
        <s v="AS-PKH-Harish Kumar"/>
        <s v="AS-PKH-SR-Dilip Singh"/>
        <s v="AS-PKH-Sumit Srivastava"/>
        <s v="AS-PKH-Suryansh Rajput"/>
        <s v="AS-PK- Dhan Kumar Shah"/>
        <s v="AS-PK-AKS-Aviral Gupta"/>
        <s v="AS-PK-AKS-Mohit Vijan"/>
        <s v="AS-PK-AKS-Nitesh Sharma"/>
        <s v="AS-PK-Manroop Biswas"/>
        <s v="AS-PK-MB-Chiranjeev Lenka"/>
        <s v="AS-PK-MB-Manoj Chauhan"/>
        <s v="AS-PK-SK-Alka Dagar"/>
        <s v="AS-PK-Subodh Kumar"/>
        <s v="AS -TD-Priyam Mukherjee"/>
        <s v="AS-TD-Ibrar Ahmed"/>
        <s v="GS-NS-Ankit Verma"/>
        <s v="GS-NS-AS-Kajal Kumari"/>
        <s v="GS-NS-AS-Oupmeet Kour"/>
        <s v="GS-NS-AV1-Anushree Sharma"/>
        <s v="GS-NS-AV1-Rahul Joshi"/>
        <s v="GS-NS-AV1-Temjen Lyngdoh"/>
        <s v="GS-RK-Deepanshu Panchal"/>
        <s v="GS-RK-Astha Kashyap"/>
        <s v="GS-RK-Chandan Manral"/>
        <s v="GS-RK-Debashish Pramanick"/>
        <s v="HG-KS-Vikas Jangra"/>
        <s v="HG-KS-Vinay Pratap Singh"/>
        <s v="HG-Vibhu Bhaskar"/>
        <s v="HG-Vinit Kumar Roy"/>
        <s v="MP-Amit Shroti"/>
        <s v="MP-Ashok Singh Chauhan"/>
        <s v="MP-Manish"/>
        <s v="MP-Mohit Saini"/>
        <s v="MP-SM-Mahadev Bisht"/>
        <s v="MP-SM-Prashant Singh"/>
        <s v="RJ-MP-Aayush Bhardwaj"/>
        <s v="RJ-SS-Abhishek Singh2"/>
        <s v="RJ-SS-Pankaj Verma"/>
        <s v="RJ-TM-HG-Ankita Singh"/>
        <s v="SA-DK-Kushagra Bhatnagar"/>
        <s v="SA-DK-Pratyusha Boppana"/>
        <s v="SA-TM-CK-BB-Suraj Gupta"/>
        <s v="SA-TM-CK-NK-Harekrishan"/>
        <s v="SA-TM-CK-Suraj Gupta"/>
        <s v="SA-TM-CK-Vishal Sharma"/>
        <s v="SA-TM-VK-Ashish Yadav"/>
        <s v="SA-TM-VK-Priya Pujara"/>
        <s v="SA-TM-VK-Pushplata Mishra"/>
        <s v="SA-Tushar Varma"/>
        <s v="ST-KP-Anushka Tiwari"/>
        <s v="ST-KP-Himayan Dey"/>
        <s v="ST-NS1-DH-Ritesh Sharma"/>
        <s v="ST-NS1-RS-Sharique Ali"/>
        <s v="ST-PV-Paras Nijahwan "/>
        <s v="ST-PV-Rajat Kumar1"/>
        <s v="ST-RM-Yash Sharma"/>
        <s v="SS-AA-Aayush Agarwal"/>
        <s v="SS-AA-Vikas Verma"/>
        <s v="SS-SK-Bhupendra Kumar"/>
        <s v="SS-SK-Himanshu Kumar"/>
        <s v="SS-SK-Sunil Rajpoot"/>
        <s v="SS-SM-Amit Singh"/>
        <s v="SS-SM-Manish Singh"/>
        <s v="SD-JK-Parul Tyagi"/>
      </sharedItems>
    </cacheField>
    <cacheField name="Month" numFmtId="0">
      <sharedItems containsNonDate="0" containsString="0" containsBlank="1"/>
    </cacheField>
    <cacheField name="AA" numFmtId="15">
      <sharedItems containsNonDate="0" containsString="0" containsBlank="1"/>
    </cacheField>
    <cacheField name="User" numFmtId="0">
      <sharedItems count="367">
        <s v="Chandan Burnwal"/>
        <s v="Nirbhey Singh"/>
        <s v="Shashi Gautam"/>
        <s v="Sanchit Nimje"/>
        <s v="Ankit Singh Chauhan"/>
        <s v="Jyoti Chauhan"/>
        <s v="Dheeraj Kumar Shukla"/>
        <s v="Gursahib Singh"/>
        <s v="Hemanshu Chauhan"/>
        <s v="Mohammad Javed Hussain"/>
        <s v="Shyam Ram"/>
        <s v="Nidhi Singh"/>
        <s v="Prabhat Kumar Singh"/>
        <s v="Vibhav Kumar"/>
        <s v="Deepak Pandey"/>
        <s v="Manya Aasthana"/>
        <s v="Varun Yadav"/>
        <s v="Harsh Vijay Singh Rathor"/>
        <s v="Nishant Tyagi"/>
        <s v="Sandesh Mounesh Achari"/>
        <s v="Shubham Raturi"/>
        <s v="Anurag Pratap Pal"/>
        <s v="Heer Rajesh Mendiratta"/>
        <s v="Tanu Verma"/>
        <s v="Abdul Kareem"/>
        <s v="Abhishek Kumar Tiwari"/>
        <s v="Abhishek Singh3"/>
        <s v="Faisal Iqbal"/>
        <s v="Gurmeet Singh Walia"/>
        <s v="Saurabh Sharma"/>
        <s v="Lovely Yadav"/>
        <s v="Wardha Khan"/>
        <s v="Megha Pant"/>
        <s v="Aman Raghuvanshi"/>
        <s v="Aman Saxena"/>
        <s v="Ashwinee Gaurav"/>
        <s v="Mukul Mayank"/>
        <s v="Prakash Kumar"/>
        <s v="Shashi Kant"/>
        <s v="Sonal Charudatta Pawar"/>
        <s v="Azhar Husain"/>
        <s v="Vivek Satyawali"/>
        <s v="Bivek Prasad"/>
        <s v="Harsh Soni"/>
        <s v="Ashutosh Kumar Singh1"/>
        <s v="Kashaf Khan"/>
        <s v="Sachin Bhardwaj"/>
        <s v="Priyanshu Singh"/>
        <s v="Samyak Jain"/>
        <s v="Chetan Pachauri"/>
        <s v="Suraj Suman"/>
        <s v="Shweta Tyagi"/>
        <s v="Prabhat Kumar"/>
        <s v="Abhishek Patel"/>
        <s v="Himanshu Shahi"/>
        <s v="Shaelendra Yadav"/>
        <s v="Sudeshna Joshi"/>
        <s v="Varun Kumar"/>
        <s v="Shantun Lavania"/>
        <s v="Harshit Chopra"/>
        <s v="Mahima Verma"/>
        <s v="Nimisha Talwar"/>
        <s v="Saaz Pathak"/>
        <s v="Naina Sharma"/>
        <s v="Suhaib Ahmad"/>
        <s v="Deependra Shrivas"/>
        <s v="Abhay Pandey"/>
        <s v="Preksha Srivastava"/>
        <s v="Anshika Singh"/>
        <s v="Abhishek Rawat"/>
        <s v="Manjeet Kumar"/>
        <s v="Yogesh Pratap Singh"/>
        <s v="Irfan Haque"/>
        <s v="Ritu Datta"/>
        <s v="Anamika Jain"/>
        <s v="Sumit Kumar1"/>
        <s v="Deepak Singh Jadon"/>
        <s v="Abhinav Upadhyay"/>
        <s v="Anu Dhiman"/>
        <s v="Abdul Rehman Ali Khan"/>
        <s v="Ashish Singh2"/>
        <s v="Vivek Sharma"/>
        <s v="Hidangmayum Bidyananda Sharma"/>
        <s v="Nikesh Kumar Dubey"/>
        <s v="Mohit Kumar1"/>
        <s v="Amit Kumar1"/>
        <s v="Chetan Goel"/>
        <s v="Sonal Shukla"/>
        <s v="Gurparab Singh"/>
        <s v="Akshay Verma"/>
        <s v="Darshan Sah"/>
        <s v="Kundeti Rajasekhar"/>
        <s v="Abhishek Thakur"/>
        <s v="Himani Sharma"/>
        <s v="Samarth Shukla"/>
        <s v="Sharad Chauhan"/>
        <s v="Bhawana Banai"/>
        <s v="Mamta Rani"/>
        <s v="Abhishek Budhraja"/>
        <s v="Pawan Singh Rawat"/>
        <s v="Vardaan Chaudhary"/>
        <s v="Manish Chauhan"/>
        <s v="Chirag Chauhan"/>
        <s v="Reshma Siddiqui"/>
        <s v="Suryansh Sharma"/>
        <s v="Shrey Sharma"/>
        <s v="Dushyant Kinra"/>
        <s v="Vinay Kumar"/>
        <s v="Vimal Shukla"/>
        <s v="Anurag Masih"/>
        <s v="Akshay Verma1"/>
        <s v="Anuradha Chaudhary"/>
        <s v="Arjun Singh"/>
        <s v="Yasir Khan"/>
        <s v="Yash Kumar Mittal"/>
        <s v="Khushi Sharma"/>
        <s v="Pari Agarwal"/>
        <s v="Kunal Sharma"/>
        <s v="Yatin Pandit"/>
        <s v="Raju Patnana"/>
        <s v="Sauran Kumar"/>
        <s v="Rajat Sharma"/>
        <s v="Nishtha Tongaria"/>
        <s v="Aashna Salman"/>
        <s v="Pragya Shahi"/>
        <s v="Jai Tiwari"/>
        <s v="Himanshu Kashyap"/>
        <s v="Aquib Jawed"/>
        <s v="Abhishek Deniyal"/>
        <s v="Sana Khan"/>
        <s v="Faraz Khan"/>
        <s v="Shivangi Bhutani"/>
        <s v="Vineet Dhull"/>
        <s v="Shivam Mishra"/>
        <s v="Pooja Rani Sidhwani"/>
        <s v="Heena Khan"/>
        <s v="Mamta Rawat"/>
        <s v="Dilip Singh"/>
        <s v="Gaurav Kumar Jha"/>
        <s v="Shashank Kumar1"/>
        <s v="Nayana Kamsena"/>
        <s v="Avinash Kumar Yadav"/>
        <s v="Mohit Sharma3"/>
        <s v="Prakhar Singhal"/>
        <s v="Amit Dua"/>
        <s v="Bhawana Suyal"/>
        <s v="Anurag Patel"/>
        <s v="Dhan Kumar Shah"/>
        <s v="Pankaj Kanwaria"/>
        <s v="Aviral Gupta"/>
        <s v="Mohd Hasan"/>
        <s v="Esha Thapa"/>
        <s v="Ankita Tariyal"/>
        <s v="Kavitha Seenappa"/>
        <s v="Vishal Rajput"/>
        <s v="Manoj Rana"/>
        <s v="Inder Jeet"/>
        <s v="Akash Mishra"/>
        <s v="Manoj Chauhan"/>
        <s v="Hemant Kumar Sharma"/>
        <s v="Alka Dagar"/>
        <s v="Vishwas Batra"/>
        <s v="Omesha Johari"/>
        <s v="Imran Ali"/>
        <s v="Rajeev Kumar2"/>
        <s v="Nilesh Kholiya"/>
        <s v="Subodh Kumar1"/>
        <s v="Ejaz Aslam"/>
        <s v="Md Modassir Ahsan"/>
        <s v="Monideep Chakraborty"/>
        <s v="Priyam Mukherjee"/>
        <s v="Harsh Sharma"/>
        <s v="Ibrar Ahmed"/>
        <s v="Tuhin Mallick"/>
        <s v="Vishal Kumar Rai"/>
        <s v="Sk Tazeem Farogh Ahmed"/>
        <s v="Simran Dua"/>
        <s v="Sayali Yogesh Shinde"/>
        <s v="Varsha Kumari"/>
        <s v="Kajal Kumari"/>
        <s v="Ayushi Sharma"/>
        <s v="Ayushi Babu"/>
        <s v="Oupmeet Kour"/>
        <s v="Anushree Sharma"/>
        <s v="Mani Sharma"/>
        <s v="Rahul Datt Joshi"/>
        <s v="Zaara Wasim"/>
        <s v="Ankita Singh1"/>
        <s v="Temjen J Lyngdoh"/>
        <s v="Anup Sharma"/>
        <s v="Astha Kashyap"/>
        <s v="Ruchi Yadav"/>
        <s v="Ankita Maurya"/>
        <s v="Chandan Manral"/>
        <s v="Abhivradhi Kakaria"/>
        <s v="Debashish Pramanick"/>
        <s v="Rishav Kumar Jain"/>
        <s v="Payal Negi"/>
        <s v="Kanak Singh"/>
        <s v="Deepanshu Panchal"/>
        <s v="Neeraj Dev"/>
        <s v="Purnima Sah"/>
        <s v="Mohd Azhar"/>
        <s v="Shivani Kapoor"/>
        <s v="Vikas Jangra"/>
        <s v="Akshayvar Singh"/>
        <s v="Nitin Sharma"/>
        <s v="Pulkit Vasdev"/>
        <s v="Vinay Pratap Singh"/>
        <s v="Vipin Singh"/>
        <s v="Abhilekh Shukla"/>
        <s v="Afifa Rehman"/>
        <s v="Ashwin Sharma"/>
        <s v="Akshara Parveen"/>
        <s v="Apoorva Verma"/>
        <s v="Darshna Somani"/>
        <s v="Akhil Pandey"/>
        <s v="Dilip Kumar Singh Pal"/>
        <s v="Shubham Aggarwal"/>
        <s v="Gunjan Singh"/>
        <s v="Soumya Patra"/>
        <s v="Pradeep Kumar Sharma"/>
        <s v="Muskan Singh1"/>
        <s v="Ayushi Kaushik"/>
        <s v="Krishna Kumar Upadhyay"/>
        <s v="Naman Gupta"/>
        <s v="Pooja Kumari"/>
        <s v="Priyanshi Garg"/>
        <s v="Shubham Agarwal"/>
        <s v="Nitish Kumar"/>
        <s v="Karishma Bhadauriya"/>
        <s v="Ashok Singh Chauhan"/>
        <s v="Saurabh Maheshwari"/>
        <s v="Isha Vashisth"/>
        <s v="Praveen Dixit"/>
        <s v="Kavish Saxena"/>
        <s v="Mahadev Singh Bisht"/>
        <s v="Chandan Kumar1"/>
        <s v="Aman Shekhar Sachan"/>
        <s v="Krishna Singh1"/>
        <s v="Ankur Kumar1"/>
        <s v="Aamir Khan"/>
        <s v="Prashant Singh"/>
        <s v="Aayush Bhardwaj"/>
        <s v="Kumar Nandan"/>
        <s v="Lovleen Jaswal"/>
        <s v="Saurabh Kaul"/>
        <s v="Arun Mohan"/>
        <s v="Ankit Jangra"/>
        <s v="Dibya Singh"/>
        <s v="Mohd Abid Rafie"/>
        <s v="Pawan Kumar Sahu"/>
        <s v="Abhishek Singh2"/>
        <s v="Mohit Rajput"/>
        <s v="Nishant Sharma"/>
        <s v="Manisha Srivastava"/>
        <s v="Pankaj Verma"/>
        <s v="Sidharth Kumar"/>
        <s v="Ankita Singh"/>
        <s v="Chalsee Siwatch"/>
        <s v="Simran Wadhwa"/>
        <s v="Bharath Shaj"/>
        <s v="Adarsh Bila"/>
        <s v="Kushagra Bhatnagar"/>
        <s v="Deepika Tiwari"/>
        <s v="Himanshu Pateriya"/>
        <s v="Jay Guru"/>
        <s v="Pooja Gupta"/>
        <s v="Arjun Dubey"/>
        <s v="Danish Ahmed"/>
        <s v="Boppana Pratyusha"/>
        <s v="Muskan Wadhva"/>
        <s v="Priya Gupta"/>
        <s v="Pragya Upadhyay"/>
        <s v="Baljeet Singh Bedi"/>
        <s v="Kunal Kumar"/>
        <s v="Avanish Kumar Pandey"/>
        <s v="Raj Singh"/>
        <s v="Rahul Kumar"/>
        <s v="Kajal Singh"/>
        <s v="Kumar Harekrishan"/>
        <s v="Poonam Kumari"/>
        <s v="Saindhav Kumar"/>
        <s v="Sachin Kumar Singh"/>
        <s v="Manish Kumar Choubey"/>
        <s v="Abhishek Mishra"/>
        <s v="Jatin Raj"/>
        <s v="Vishal Sharma"/>
        <s v="Abhinav Yadav"/>
        <s v="Ashish Yadav"/>
        <s v="Bhavya Sharma"/>
        <s v="Ibran Ahmad"/>
        <s v="Priya Pujara"/>
        <s v="Deepak Jain"/>
        <s v="Pushplata Mishra"/>
        <s v="Jyoti Negi"/>
        <s v="Belief Varghese"/>
        <s v="Akshay Chauhan"/>
        <s v="Ayush Garg"/>
        <s v="Pradeep Maurya"/>
        <s v="Akhil Mathur"/>
        <s v="Anushka Tiwari"/>
        <s v="Harshit Kumar Niranjan"/>
        <s v="Kushagra Rautela"/>
        <s v="Deepak Badhwar"/>
        <s v="Geetanjali Kohli"/>
        <s v="Himayan Dey"/>
        <s v="Kalpana Tiwari"/>
        <s v="Rajashree Swain"/>
        <s v="Shalini Kumari Pathak"/>
        <s v="Rashmi Pal"/>
        <s v="Ankita Sonkar"/>
        <s v="Ritesh Sharma"/>
        <s v="Shesh Nath Pandey"/>
        <s v="Abhishek Mishra1"/>
        <s v="Swaullppashree Rout"/>
        <s v="Danish Husain"/>
        <s v="Sharique Ali"/>
        <s v="Kaamini Singh"/>
        <s v="Payal Singh1"/>
        <s v="Shweta Shrivastav"/>
        <s v="Aditya Chauhan"/>
        <s v="Paras Nijahwan"/>
        <s v="Mrityunjay Mishra"/>
        <s v="Aarti Negi"/>
        <s v="Mohd Mahtab Alam"/>
        <s v="Rahul Bhasin"/>
        <s v="Rajat Kumar1"/>
        <s v="Saksham Sharma"/>
        <s v="Sourav Gautam"/>
        <s v="Sanjeev Bisht"/>
        <s v="Bharat Lohmore"/>
        <s v="Krishan Kumar Swami"/>
        <s v="Pooja Jalan"/>
        <s v="Sahil Attri"/>
        <s v="Vimal Sharma"/>
        <s v="Yash Sharma"/>
        <s v="Bhupendra Negi"/>
        <s v="Bikramjeet Singh"/>
        <s v="Ravindra Singh"/>
        <s v="Anuj Kumar"/>
        <s v="Richard Joseph"/>
        <s v="Neha Sharma2"/>
        <s v="Vikas Verma1"/>
        <s v="Abhishek Verma"/>
        <s v="Azmat Ali"/>
        <s v="Bhupendra Kumar"/>
        <s v="Arvind Kumar Singh"/>
        <s v="Himanshu Kumar1"/>
        <s v="Amit Mishra"/>
        <s v="Sunil Rajpoot"/>
        <s v="Vaibhav Mishra"/>
        <s v="Amit Kumar Singh"/>
        <s v="Syeda Saba Arshi"/>
        <s v="Kiran Upadhyay"/>
        <s v="Divyanka Soni"/>
        <s v="Shreyansh Singh"/>
        <s v="Aash Mohammad"/>
        <s v="Manish Singh1"/>
        <s v="Vaishnavi Mishra"/>
        <s v="Abhinav Agarwal"/>
        <s v="Manish Kumar Kulashri"/>
        <s v="Kripal Singh1 Kushwaha"/>
        <s v="Abhishek Kaushik"/>
        <s v="Dushyant Kumar"/>
        <s v="Raghvendra Pratap Singh Rautela"/>
        <s v="Mohd Aqib"/>
      </sharedItems>
    </cacheField>
    <cacheField name="Division" numFmtId="0">
      <sharedItems count="17">
        <s v="Abhijeet Kumar Das"/>
        <s v="Anant Tripathi"/>
        <s v="AS-Direct Clients"/>
        <s v="AS-Gautam Kumar"/>
        <s v="AS-Himanshu Dayal"/>
        <s v="AS-Pranjal Khattri"/>
        <s v="AS-Mayank Aggarwal"/>
        <s v="AS-Prateek Kapoor"/>
        <s v="AS-Tanmay Dasgupta"/>
        <s v="Gaurav Seth"/>
        <s v="Harsh Goel"/>
        <s v="Manish Patel"/>
        <s v="Roohi Jain"/>
        <s v="Sahil Ahuja"/>
        <s v="Samarjeet Thukral"/>
        <s v="Shruti Singh"/>
        <s v="Sunil Dhar"/>
      </sharedItems>
    </cacheField>
    <cacheField name="Int Submittals" numFmtId="0">
      <sharedItems containsSemiMixedTypes="0" containsString="0" containsNumber="1" containsInteger="1" minValue="0" maxValue="64"/>
    </cacheField>
    <cacheField name="Pend Ext Submittals" numFmtId="0">
      <sharedItems containsNonDate="0" containsString="0" containsBlank="1"/>
    </cacheField>
    <cacheField name="Int Rejects" numFmtId="0">
      <sharedItems containsNonDate="0" containsString="0" containsBlank="1"/>
    </cacheField>
    <cacheField name="Ext Submittal" numFmtId="0">
      <sharedItems containsSemiMixedTypes="0" containsString="0" containsNumber="1" containsInteger="1" minValue="0" maxValue="62"/>
    </cacheField>
    <cacheField name="Interviews" numFmtId="0">
      <sharedItems containsSemiMixedTypes="0" containsString="0" containsNumber="1" containsInteger="1" minValue="0" maxValue="8"/>
    </cacheField>
    <cacheField name="Starts" numFmtId="0">
      <sharedItems containsSemiMixedTypes="0" containsString="0" containsNumber="1" containsInteger="1" minValue="0" maxValue="6"/>
    </cacheField>
    <cacheField name="Productivity" numFmtId="2">
      <sharedItems containsString="0" containsBlank="1" containsNumber="1" minValue="0" maxValue="3.1"/>
    </cacheField>
    <cacheField name="SPR" numFmtId="0">
      <sharedItems containsString="0" containsBlank="1" containsNumber="1" containsInteger="1" minValue="0" maxValue="6"/>
    </cacheField>
    <cacheField name="Conv" numFmtId="164">
      <sharedItems containsString="0" containsBlank="1" containsNumber="1" minValue="0" maxValue="25"/>
    </cacheField>
    <cacheField name="Notes" numFmtId="0">
      <sharedItems containsSemiMixedTypes="0" containsString="0" containsNumber="1" containsInteger="1" minValue="0" maxValue="2300"/>
    </cacheField>
    <cacheField name="Hours" numFmtId="0">
      <sharedItems containsSemiMixedTypes="0" containsDate="1" containsString="0" containsMixedTypes="1" minDate="1899-12-30T00:00:00" maxDate="6229-04-29T02:22:04"/>
    </cacheField>
    <cacheField name=" Conv Rate" numFmtId="0" formula="IF(Starts=0,0,'Ext Submittal'/Starts)" databaseField="0"/>
    <cacheField name="Conv Rate" numFmtId="0" formula="'Ext Submittal'/Starts" databaseField="0"/>
  </cacheFields>
  <extLst>
    <ext xmlns:x14="http://schemas.microsoft.com/office/spreadsheetml/2009/9/main" uri="{725AE2AE-9491-48be-B2B4-4EB974FC3084}">
      <x14:pivotCacheDefinition pivotCacheId="3"/>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epak Kumar2" refreshedDate="45194.717069907405" createdVersion="6" refreshedVersion="6" minRefreshableVersion="3" recordCount="367" xr:uid="{8CB8688B-822B-42A2-9A0D-AC8143C4D8C1}">
  <cacheSource type="worksheet">
    <worksheetSource ref="A1:U368" sheet="Sheet1"/>
  </cacheSource>
  <cacheFields count="21">
    <cacheField name="Name" numFmtId="0">
      <sharedItems/>
    </cacheField>
    <cacheField name="Division" numFmtId="0">
      <sharedItems count="18">
        <s v="Abhijeet Kumar Das"/>
        <s v="Anant Tripathi"/>
        <s v="AS-Direct Clients"/>
        <s v="AS-Gautam Kumar"/>
        <s v="AS-Himanshu Dayal"/>
        <s v="AS-Pranjal Khattri"/>
        <s v="AS-Mayank Aggarwal"/>
        <s v="AS-Prateek Kapoor"/>
        <s v="AS-Tanmay Dasgupta"/>
        <s v="Gaurav Seth"/>
        <s v="Harsh Goel"/>
        <s v="Manish Patel"/>
        <s v="Roohi Jain"/>
        <s v="Sahil Ahuja"/>
        <s v="Samarjeet Thukral"/>
        <s v="Shruti Singh"/>
        <s v="Sunil Dhar"/>
        <s v="Sahil Ahuja - Healthcare" u="1"/>
      </sharedItems>
    </cacheField>
    <cacheField name="AM/TL" numFmtId="0">
      <sharedItems/>
    </cacheField>
    <cacheField name="Internal Submittals " numFmtId="0">
      <sharedItems containsSemiMixedTypes="0" containsString="0" containsNumber="1" containsInteger="1" minValue="0" maxValue="64"/>
    </cacheField>
    <cacheField name="External Submittals" numFmtId="0">
      <sharedItems containsSemiMixedTypes="0" containsString="0" containsNumber="1" containsInteger="1" minValue="0" maxValue="62"/>
    </cacheField>
    <cacheField name="Interviews" numFmtId="0">
      <sharedItems containsSemiMixedTypes="0" containsString="0" containsNumber="1" containsInteger="1" minValue="0" maxValue="8"/>
    </cacheField>
    <cacheField name="Hires" numFmtId="0">
      <sharedItems containsSemiMixedTypes="0" containsString="0" containsNumber="1" containsInteger="1" minValue="0" maxValue="6"/>
    </cacheField>
    <cacheField name="Productivity" numFmtId="0">
      <sharedItems containsNonDate="0" containsString="0" containsBlank="1"/>
    </cacheField>
    <cacheField name="Starts Per Recruiter" numFmtId="2">
      <sharedItems containsSemiMixedTypes="0" containsString="0" containsNumber="1" minValue="0" maxValue="0.70370370370370372"/>
    </cacheField>
    <cacheField name="Conversion Per Submittals " numFmtId="2">
      <sharedItems containsSemiMixedTypes="0" containsString="0" containsNumber="1" minValue="0" maxValue="25"/>
    </cacheField>
    <cacheField name="Number of Notes" numFmtId="0">
      <sharedItems containsSemiMixedTypes="0" containsString="0" containsNumber="1" containsInteger="1" minValue="0" maxValue="2300"/>
    </cacheField>
    <cacheField name="Total Login Days" numFmtId="0">
      <sharedItems containsSemiMixedTypes="0" containsString="0" containsNumber="1" containsInteger="1" minValue="0" maxValue="192"/>
    </cacheField>
    <cacheField name="Total Hours" numFmtId="165">
      <sharedItems containsSemiMixedTypes="0" containsNonDate="0" containsDate="1" containsString="0" minDate="1899-12-30T00:00:00" maxDate="1900-01-05T04:38:52"/>
    </cacheField>
    <cacheField name="Head Count" numFmtId="0">
      <sharedItems containsSemiMixedTypes="0" containsString="0" containsNumber="1" containsInteger="1" minValue="1" maxValue="1"/>
    </cacheField>
    <cacheField name="Position Coverage" numFmtId="0">
      <sharedItems containsNonDate="0" containsString="0" containsBlank="1"/>
    </cacheField>
    <cacheField name="Zero Submittals Requirements" numFmtId="0">
      <sharedItems containsNonDate="0" containsString="0" containsBlank="1"/>
    </cacheField>
    <cacheField name="Fill Percentage" numFmtId="0">
      <sharedItems containsNonDate="0" containsString="0" containsBlank="1"/>
    </cacheField>
    <cacheField name="Avergae TAT For Requirement" numFmtId="0">
      <sharedItems containsNonDate="0" containsString="0" containsBlank="1"/>
    </cacheField>
    <cacheField name="June'23" numFmtId="0">
      <sharedItems containsSemiMixedTypes="0" containsString="0" containsNumber="1" containsInteger="1" minValue="0" maxValue="34" count="5">
        <n v="1"/>
        <n v="0"/>
        <n v="2"/>
        <n v="34"/>
        <n v="4"/>
      </sharedItems>
    </cacheField>
    <cacheField name="Jul'23" numFmtId="0">
      <sharedItems containsSemiMixedTypes="0" containsString="0" containsNumber="1" containsInteger="1" minValue="0" maxValue="19" count="6">
        <n v="0"/>
        <n v="2"/>
        <n v="1"/>
        <n v="3"/>
        <n v="19"/>
        <n v="9"/>
      </sharedItems>
    </cacheField>
    <cacheField name="Aug'23" numFmtId="0">
      <sharedItems containsSemiMixedTypes="0" containsString="0" containsNumber="1" containsInteger="1" minValue="0" maxValue="11"/>
    </cacheField>
  </cacheFields>
  <extLst>
    <ext xmlns:x14="http://schemas.microsoft.com/office/spreadsheetml/2009/9/main" uri="{725AE2AE-9491-48be-B2B4-4EB974FC3084}">
      <x14:pivotCacheDefinition pivotCacheId="149242719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67">
  <r>
    <x v="0"/>
    <m/>
    <m/>
    <x v="0"/>
    <x v="0"/>
    <n v="12"/>
    <m/>
    <m/>
    <n v="12"/>
    <n v="3"/>
    <n v="3"/>
    <n v="0.6"/>
    <n v="3"/>
    <n v="4"/>
    <n v="17"/>
    <d v="1900-01-02T12:49:58"/>
  </r>
  <r>
    <x v="0"/>
    <m/>
    <m/>
    <x v="1"/>
    <x v="0"/>
    <n v="26"/>
    <m/>
    <m/>
    <n v="26"/>
    <n v="2"/>
    <n v="0"/>
    <n v="1.3"/>
    <n v="0"/>
    <n v="0"/>
    <n v="198"/>
    <d v="1900-01-03T15:34:40"/>
  </r>
  <r>
    <x v="0"/>
    <m/>
    <m/>
    <x v="2"/>
    <x v="0"/>
    <n v="37"/>
    <m/>
    <m/>
    <n v="37"/>
    <n v="2"/>
    <n v="3"/>
    <n v="1.85"/>
    <n v="3"/>
    <n v="12.333333333333334"/>
    <n v="682"/>
    <d v="1900-01-04T14:19:40"/>
  </r>
  <r>
    <x v="0"/>
    <m/>
    <m/>
    <x v="3"/>
    <x v="0"/>
    <n v="22"/>
    <m/>
    <m/>
    <n v="22"/>
    <n v="1"/>
    <n v="1"/>
    <n v="1.1000000000000001"/>
    <n v="1"/>
    <n v="22"/>
    <n v="407"/>
    <d v="1900-01-03T02:48:07"/>
  </r>
  <r>
    <x v="0"/>
    <m/>
    <m/>
    <x v="4"/>
    <x v="0"/>
    <n v="20"/>
    <m/>
    <m/>
    <n v="20"/>
    <n v="2"/>
    <n v="2"/>
    <n v="1"/>
    <n v="2"/>
    <n v="10"/>
    <n v="414"/>
    <d v="1900-01-03T23:13:54"/>
  </r>
  <r>
    <x v="1"/>
    <m/>
    <m/>
    <x v="5"/>
    <x v="1"/>
    <n v="10"/>
    <m/>
    <m/>
    <n v="7"/>
    <n v="1"/>
    <n v="0"/>
    <n v="0.35"/>
    <n v="0"/>
    <n v="0"/>
    <n v="536"/>
    <d v="1900-01-02T18:48:31"/>
  </r>
  <r>
    <x v="1"/>
    <m/>
    <m/>
    <x v="6"/>
    <x v="1"/>
    <n v="13"/>
    <m/>
    <m/>
    <n v="6"/>
    <n v="1"/>
    <n v="0"/>
    <n v="0.3"/>
    <n v="0"/>
    <n v="0"/>
    <n v="496"/>
    <d v="1900-01-03T08:18:02"/>
  </r>
  <r>
    <x v="1"/>
    <m/>
    <m/>
    <x v="7"/>
    <x v="1"/>
    <n v="18"/>
    <m/>
    <m/>
    <n v="14"/>
    <n v="4"/>
    <n v="0"/>
    <n v="0.7"/>
    <n v="0"/>
    <n v="0"/>
    <n v="156"/>
    <d v="1900-01-04T04:59:03"/>
  </r>
  <r>
    <x v="1"/>
    <m/>
    <m/>
    <x v="8"/>
    <x v="1"/>
    <n v="13"/>
    <m/>
    <m/>
    <n v="6"/>
    <n v="1"/>
    <n v="0"/>
    <n v="0.3"/>
    <n v="0"/>
    <n v="0"/>
    <n v="358"/>
    <d v="1900-01-04T09:42:37"/>
  </r>
  <r>
    <x v="1"/>
    <m/>
    <m/>
    <x v="9"/>
    <x v="1"/>
    <n v="15"/>
    <m/>
    <m/>
    <n v="11"/>
    <n v="0"/>
    <n v="0"/>
    <n v="0.55000000000000004"/>
    <n v="0"/>
    <n v="0"/>
    <n v="370"/>
    <d v="1900-01-02T11:06:39"/>
  </r>
  <r>
    <x v="1"/>
    <m/>
    <m/>
    <x v="10"/>
    <x v="1"/>
    <n v="25"/>
    <m/>
    <m/>
    <n v="17"/>
    <n v="7"/>
    <n v="1"/>
    <n v="0.85"/>
    <n v="1"/>
    <n v="17"/>
    <n v="136"/>
    <d v="1900-01-04T04:24:49"/>
  </r>
  <r>
    <x v="2"/>
    <m/>
    <m/>
    <x v="11"/>
    <x v="1"/>
    <n v="12"/>
    <m/>
    <m/>
    <n v="5"/>
    <n v="1"/>
    <n v="0"/>
    <n v="0.25"/>
    <n v="0"/>
    <n v="0"/>
    <n v="494"/>
    <d v="1900-01-04T03:20:07"/>
  </r>
  <r>
    <x v="2"/>
    <m/>
    <m/>
    <x v="12"/>
    <x v="1"/>
    <n v="1"/>
    <m/>
    <m/>
    <n v="2"/>
    <n v="0"/>
    <n v="2"/>
    <n v="0.1"/>
    <n v="2"/>
    <n v="1"/>
    <n v="36"/>
    <d v="1899-12-30T22:32:36"/>
  </r>
  <r>
    <x v="2"/>
    <m/>
    <m/>
    <x v="13"/>
    <x v="1"/>
    <n v="12"/>
    <m/>
    <m/>
    <n v="6"/>
    <n v="0"/>
    <n v="0"/>
    <n v="0.3"/>
    <n v="0"/>
    <n v="0"/>
    <n v="603"/>
    <d v="1900-01-04T04:06:47"/>
  </r>
  <r>
    <x v="3"/>
    <m/>
    <m/>
    <x v="14"/>
    <x v="1"/>
    <n v="18"/>
    <m/>
    <m/>
    <n v="10"/>
    <n v="0"/>
    <n v="0"/>
    <n v="0.5"/>
    <n v="0"/>
    <n v="0"/>
    <n v="398"/>
    <d v="1900-01-03T17:44:16"/>
  </r>
  <r>
    <x v="3"/>
    <m/>
    <m/>
    <x v="15"/>
    <x v="1"/>
    <n v="14"/>
    <m/>
    <m/>
    <n v="9"/>
    <n v="0"/>
    <n v="1"/>
    <n v="0.45"/>
    <n v="1"/>
    <n v="9"/>
    <n v="555"/>
    <d v="1900-01-03T06:47:44"/>
  </r>
  <r>
    <x v="3"/>
    <m/>
    <m/>
    <x v="16"/>
    <x v="1"/>
    <n v="13"/>
    <m/>
    <m/>
    <n v="11"/>
    <n v="0"/>
    <n v="0"/>
    <n v="0.55000000000000004"/>
    <n v="0"/>
    <n v="0"/>
    <n v="375"/>
    <d v="1900-01-03T21:38:41"/>
  </r>
  <r>
    <x v="4"/>
    <m/>
    <m/>
    <x v="17"/>
    <x v="2"/>
    <n v="0"/>
    <m/>
    <m/>
    <n v="0"/>
    <n v="0"/>
    <n v="0"/>
    <n v="0"/>
    <n v="0"/>
    <n v="0"/>
    <n v="0"/>
    <d v="1899-12-30T00:09:14"/>
  </r>
  <r>
    <x v="4"/>
    <m/>
    <m/>
    <x v="18"/>
    <x v="2"/>
    <n v="9"/>
    <m/>
    <m/>
    <n v="6"/>
    <n v="0"/>
    <n v="1"/>
    <n v="0.3"/>
    <n v="1"/>
    <n v="6"/>
    <n v="198"/>
    <d v="1900-01-03T08:03:55"/>
  </r>
  <r>
    <x v="4"/>
    <m/>
    <m/>
    <x v="19"/>
    <x v="2"/>
    <n v="3"/>
    <m/>
    <m/>
    <n v="3"/>
    <n v="0"/>
    <n v="0"/>
    <n v="0.15"/>
    <n v="0"/>
    <n v="0"/>
    <n v="74"/>
    <d v="1900-01-02T14:42:26"/>
  </r>
  <r>
    <x v="4"/>
    <m/>
    <m/>
    <x v="20"/>
    <x v="2"/>
    <n v="10"/>
    <m/>
    <m/>
    <n v="3"/>
    <n v="1"/>
    <n v="0"/>
    <n v="0.15"/>
    <n v="0"/>
    <n v="0"/>
    <n v="305"/>
    <d v="1900-01-03T12:01:06"/>
  </r>
  <r>
    <x v="4"/>
    <m/>
    <m/>
    <x v="21"/>
    <x v="2"/>
    <n v="7"/>
    <m/>
    <m/>
    <n v="5"/>
    <n v="0"/>
    <n v="0"/>
    <n v="0.25"/>
    <n v="0"/>
    <n v="0"/>
    <n v="165"/>
    <d v="1900-01-02T23:12:37"/>
  </r>
  <r>
    <x v="4"/>
    <m/>
    <m/>
    <x v="22"/>
    <x v="2"/>
    <n v="9"/>
    <m/>
    <m/>
    <n v="6"/>
    <n v="0"/>
    <n v="0"/>
    <n v="0.3"/>
    <n v="0"/>
    <n v="0"/>
    <n v="489"/>
    <d v="1900-01-03T09:34:20"/>
  </r>
  <r>
    <x v="4"/>
    <m/>
    <m/>
    <x v="23"/>
    <x v="2"/>
    <n v="12"/>
    <m/>
    <m/>
    <n v="8"/>
    <n v="1"/>
    <n v="0"/>
    <n v="0.4"/>
    <n v="0"/>
    <n v="0"/>
    <n v="867"/>
    <d v="1900-01-03T22:16:19"/>
  </r>
  <r>
    <x v="5"/>
    <m/>
    <m/>
    <x v="24"/>
    <x v="2"/>
    <n v="6"/>
    <m/>
    <m/>
    <n v="1"/>
    <n v="0"/>
    <n v="0"/>
    <n v="0.05"/>
    <n v="0"/>
    <n v="0"/>
    <n v="119"/>
    <d v="1900-01-01T20:47:19"/>
  </r>
  <r>
    <x v="5"/>
    <m/>
    <m/>
    <x v="25"/>
    <x v="2"/>
    <n v="5"/>
    <m/>
    <m/>
    <n v="2"/>
    <n v="0"/>
    <n v="1"/>
    <n v="0.1"/>
    <n v="1"/>
    <n v="2"/>
    <n v="61"/>
    <d v="1900-01-01T07:01:46"/>
  </r>
  <r>
    <x v="5"/>
    <m/>
    <m/>
    <x v="26"/>
    <x v="2"/>
    <n v="5"/>
    <m/>
    <m/>
    <n v="2"/>
    <n v="0"/>
    <n v="0"/>
    <n v="0.1"/>
    <n v="0"/>
    <n v="0"/>
    <n v="391"/>
    <d v="1900-01-03T00:20:01"/>
  </r>
  <r>
    <x v="5"/>
    <m/>
    <m/>
    <x v="27"/>
    <x v="2"/>
    <n v="27"/>
    <m/>
    <m/>
    <n v="13"/>
    <n v="0"/>
    <n v="0"/>
    <n v="0.65"/>
    <n v="0"/>
    <n v="0"/>
    <n v="495"/>
    <d v="1900-01-04T06:43:19"/>
  </r>
  <r>
    <x v="5"/>
    <m/>
    <m/>
    <x v="28"/>
    <x v="2"/>
    <n v="9"/>
    <m/>
    <m/>
    <n v="3"/>
    <n v="0"/>
    <n v="1"/>
    <n v="0.15"/>
    <n v="1"/>
    <n v="3"/>
    <n v="109"/>
    <d v="1900-01-01T17:34:44"/>
  </r>
  <r>
    <x v="5"/>
    <m/>
    <m/>
    <x v="29"/>
    <x v="2"/>
    <n v="2"/>
    <m/>
    <m/>
    <n v="2"/>
    <n v="1"/>
    <n v="0"/>
    <n v="0.1"/>
    <n v="0"/>
    <n v="0"/>
    <n v="35"/>
    <d v="1899-12-30T19:59:52"/>
  </r>
  <r>
    <x v="5"/>
    <m/>
    <m/>
    <x v="30"/>
    <x v="2"/>
    <n v="5"/>
    <m/>
    <m/>
    <n v="0"/>
    <n v="0"/>
    <n v="0"/>
    <n v="0"/>
    <n v="0"/>
    <n v="0"/>
    <n v="523"/>
    <d v="1900-01-03T16:09:27"/>
  </r>
  <r>
    <x v="5"/>
    <m/>
    <m/>
    <x v="31"/>
    <x v="2"/>
    <n v="7"/>
    <m/>
    <m/>
    <n v="0"/>
    <n v="0"/>
    <n v="0"/>
    <n v="0"/>
    <n v="0"/>
    <n v="0"/>
    <n v="482"/>
    <d v="1900-01-03T03:04:15"/>
  </r>
  <r>
    <x v="5"/>
    <m/>
    <m/>
    <x v="32"/>
    <x v="2"/>
    <n v="7"/>
    <m/>
    <m/>
    <n v="4"/>
    <n v="0"/>
    <n v="0"/>
    <n v="0.2"/>
    <n v="0"/>
    <n v="0"/>
    <n v="575"/>
    <d v="1900-01-04T00:21:26"/>
  </r>
  <r>
    <x v="5"/>
    <m/>
    <m/>
    <x v="33"/>
    <x v="2"/>
    <n v="6"/>
    <m/>
    <m/>
    <n v="4"/>
    <n v="0"/>
    <n v="0"/>
    <n v="0.2"/>
    <n v="0"/>
    <n v="0"/>
    <n v="475"/>
    <d v="1900-01-04T08:44:35"/>
  </r>
  <r>
    <x v="5"/>
    <m/>
    <m/>
    <x v="34"/>
    <x v="2"/>
    <n v="10"/>
    <m/>
    <m/>
    <n v="4"/>
    <n v="0"/>
    <n v="0"/>
    <n v="0.2"/>
    <n v="0"/>
    <n v="0"/>
    <n v="621"/>
    <d v="1900-01-03T22:26:06"/>
  </r>
  <r>
    <x v="6"/>
    <m/>
    <m/>
    <x v="35"/>
    <x v="3"/>
    <n v="9"/>
    <m/>
    <m/>
    <n v="4"/>
    <n v="0"/>
    <n v="0"/>
    <n v="0.2"/>
    <n v="0"/>
    <n v="0"/>
    <n v="81"/>
    <d v="1900-01-03T16:46:01"/>
  </r>
  <r>
    <x v="6"/>
    <m/>
    <m/>
    <x v="36"/>
    <x v="3"/>
    <n v="4"/>
    <m/>
    <m/>
    <n v="3"/>
    <n v="0"/>
    <n v="0"/>
    <n v="0.15"/>
    <n v="0"/>
    <n v="0"/>
    <n v="33"/>
    <d v="1900-01-02T02:44:02"/>
  </r>
  <r>
    <x v="6"/>
    <m/>
    <m/>
    <x v="37"/>
    <x v="3"/>
    <n v="0"/>
    <m/>
    <m/>
    <n v="0"/>
    <n v="0"/>
    <n v="0"/>
    <n v="0"/>
    <n v="0"/>
    <n v="0"/>
    <n v="0"/>
    <d v="1899-12-30T00:36:59"/>
  </r>
  <r>
    <x v="6"/>
    <m/>
    <m/>
    <x v="38"/>
    <x v="3"/>
    <n v="24"/>
    <m/>
    <m/>
    <n v="19"/>
    <n v="0"/>
    <n v="0"/>
    <n v="0.95"/>
    <n v="0"/>
    <n v="0"/>
    <n v="356"/>
    <d v="1900-01-03T05:17:55"/>
  </r>
  <r>
    <x v="6"/>
    <m/>
    <m/>
    <x v="39"/>
    <x v="3"/>
    <n v="0"/>
    <m/>
    <m/>
    <n v="0"/>
    <n v="0"/>
    <n v="0"/>
    <n v="0"/>
    <n v="0"/>
    <n v="0"/>
    <n v="0"/>
    <d v="1899-12-30T00:00:00"/>
  </r>
  <r>
    <x v="6"/>
    <m/>
    <m/>
    <x v="40"/>
    <x v="3"/>
    <n v="27"/>
    <m/>
    <m/>
    <n v="20"/>
    <n v="0"/>
    <n v="0"/>
    <n v="1"/>
    <n v="0"/>
    <n v="0"/>
    <n v="297"/>
    <d v="1900-01-04T03:22:54"/>
  </r>
  <r>
    <x v="6"/>
    <m/>
    <m/>
    <x v="41"/>
    <x v="3"/>
    <n v="13"/>
    <m/>
    <m/>
    <n v="4"/>
    <n v="3"/>
    <n v="1"/>
    <n v="0.2"/>
    <n v="1"/>
    <n v="4"/>
    <n v="397"/>
    <d v="1900-01-03T20:18:54"/>
  </r>
  <r>
    <x v="6"/>
    <m/>
    <m/>
    <x v="42"/>
    <x v="3"/>
    <n v="22"/>
    <m/>
    <m/>
    <n v="22"/>
    <n v="3"/>
    <n v="0"/>
    <n v="1.1000000000000001"/>
    <n v="0"/>
    <n v="0"/>
    <n v="680"/>
    <d v="1900-01-03T12:48:57"/>
  </r>
  <r>
    <x v="6"/>
    <m/>
    <m/>
    <x v="43"/>
    <x v="3"/>
    <n v="23"/>
    <m/>
    <m/>
    <n v="22"/>
    <n v="0"/>
    <n v="0"/>
    <n v="1.1000000000000001"/>
    <n v="0"/>
    <n v="0"/>
    <n v="1007"/>
    <d v="1900-01-04T07:44:44"/>
  </r>
  <r>
    <x v="6"/>
    <m/>
    <m/>
    <x v="44"/>
    <x v="3"/>
    <n v="42"/>
    <m/>
    <m/>
    <n v="34"/>
    <n v="0"/>
    <n v="0"/>
    <n v="1.7"/>
    <n v="0"/>
    <n v="0"/>
    <n v="464"/>
    <d v="1900-01-03T18:28:58"/>
  </r>
  <r>
    <x v="6"/>
    <m/>
    <m/>
    <x v="45"/>
    <x v="3"/>
    <n v="30"/>
    <m/>
    <m/>
    <n v="25"/>
    <n v="3"/>
    <n v="1"/>
    <n v="1.25"/>
    <n v="1"/>
    <n v="25"/>
    <n v="1138"/>
    <d v="1900-01-04T04:25:23"/>
  </r>
  <r>
    <x v="7"/>
    <m/>
    <m/>
    <x v="46"/>
    <x v="4"/>
    <n v="4"/>
    <m/>
    <m/>
    <n v="3"/>
    <n v="0"/>
    <n v="1"/>
    <n v="0.15"/>
    <n v="1"/>
    <n v="3"/>
    <n v="6"/>
    <d v="1899-12-30T16:58:45"/>
  </r>
  <r>
    <x v="7"/>
    <m/>
    <m/>
    <x v="47"/>
    <x v="4"/>
    <n v="7"/>
    <m/>
    <m/>
    <n v="6"/>
    <n v="0"/>
    <n v="0"/>
    <n v="0.3"/>
    <n v="0"/>
    <n v="0"/>
    <n v="95"/>
    <d v="1900-01-02T18:23:42"/>
  </r>
  <r>
    <x v="8"/>
    <m/>
    <m/>
    <x v="48"/>
    <x v="4"/>
    <n v="21"/>
    <m/>
    <m/>
    <n v="20"/>
    <n v="2"/>
    <n v="0"/>
    <n v="1"/>
    <n v="0"/>
    <n v="0"/>
    <n v="313"/>
    <d v="1900-01-04T09:31:01"/>
  </r>
  <r>
    <x v="8"/>
    <m/>
    <m/>
    <x v="49"/>
    <x v="4"/>
    <n v="18"/>
    <m/>
    <m/>
    <n v="16"/>
    <n v="1"/>
    <n v="0"/>
    <n v="0.8"/>
    <n v="0"/>
    <n v="0"/>
    <n v="604"/>
    <d v="1900-01-04T01:26:37"/>
  </r>
  <r>
    <x v="8"/>
    <m/>
    <m/>
    <x v="50"/>
    <x v="4"/>
    <n v="12"/>
    <m/>
    <m/>
    <n v="12"/>
    <n v="0"/>
    <n v="0"/>
    <n v="0.6"/>
    <n v="0"/>
    <n v="0"/>
    <n v="404"/>
    <d v="1900-01-02T14:09:55"/>
  </r>
  <r>
    <x v="8"/>
    <m/>
    <m/>
    <x v="51"/>
    <x v="4"/>
    <n v="30"/>
    <m/>
    <m/>
    <n v="23"/>
    <n v="0"/>
    <n v="0"/>
    <n v="1.1499999999999999"/>
    <n v="0"/>
    <n v="0"/>
    <n v="492"/>
    <d v="1900-01-03T20:38:06"/>
  </r>
  <r>
    <x v="8"/>
    <m/>
    <m/>
    <x v="52"/>
    <x v="4"/>
    <n v="13"/>
    <m/>
    <m/>
    <n v="13"/>
    <n v="0"/>
    <n v="0"/>
    <n v="0.65"/>
    <n v="0"/>
    <n v="0"/>
    <n v="484"/>
    <d v="1900-01-03T20:35:21"/>
  </r>
  <r>
    <x v="9"/>
    <m/>
    <m/>
    <x v="53"/>
    <x v="4"/>
    <n v="35"/>
    <m/>
    <m/>
    <n v="30"/>
    <n v="0"/>
    <n v="0"/>
    <n v="1.5"/>
    <n v="0"/>
    <n v="0"/>
    <n v="398"/>
    <d v="1900-01-03T22:32:52"/>
  </r>
  <r>
    <x v="10"/>
    <m/>
    <m/>
    <x v="54"/>
    <x v="4"/>
    <n v="8"/>
    <m/>
    <m/>
    <n v="8"/>
    <n v="0"/>
    <n v="0"/>
    <n v="0.4"/>
    <n v="0"/>
    <n v="0"/>
    <n v="64"/>
    <d v="1900-01-02T13:55:18"/>
  </r>
  <r>
    <x v="10"/>
    <m/>
    <m/>
    <x v="55"/>
    <x v="4"/>
    <n v="1"/>
    <m/>
    <m/>
    <n v="1"/>
    <n v="0"/>
    <n v="0"/>
    <n v="0.05"/>
    <n v="0"/>
    <n v="0"/>
    <n v="2"/>
    <d v="1899-12-31T11:01:26"/>
  </r>
  <r>
    <x v="10"/>
    <m/>
    <m/>
    <x v="56"/>
    <x v="4"/>
    <n v="12"/>
    <m/>
    <m/>
    <n v="10"/>
    <n v="0"/>
    <n v="0"/>
    <n v="0.5"/>
    <n v="0"/>
    <n v="0"/>
    <n v="250"/>
    <d v="1900-01-04T15:23:58"/>
  </r>
  <r>
    <x v="10"/>
    <m/>
    <m/>
    <x v="57"/>
    <x v="4"/>
    <n v="17"/>
    <m/>
    <m/>
    <n v="9"/>
    <n v="0"/>
    <n v="0"/>
    <n v="0.45"/>
    <n v="0"/>
    <n v="0"/>
    <n v="169"/>
    <d v="1900-01-02T23:50:18"/>
  </r>
  <r>
    <x v="10"/>
    <m/>
    <m/>
    <x v="58"/>
    <x v="4"/>
    <n v="13"/>
    <m/>
    <m/>
    <n v="11"/>
    <n v="4"/>
    <n v="0"/>
    <n v="0.55000000000000004"/>
    <n v="0"/>
    <n v="0"/>
    <n v="709"/>
    <d v="1900-01-04T15:49:54"/>
  </r>
  <r>
    <x v="11"/>
    <m/>
    <m/>
    <x v="59"/>
    <x v="4"/>
    <n v="27"/>
    <m/>
    <m/>
    <n v="18"/>
    <n v="0"/>
    <n v="0"/>
    <n v="0.9"/>
    <n v="0"/>
    <n v="0"/>
    <n v="409"/>
    <d v="1900-01-04T03:51:58"/>
  </r>
  <r>
    <x v="11"/>
    <m/>
    <m/>
    <x v="60"/>
    <x v="4"/>
    <n v="36"/>
    <m/>
    <m/>
    <n v="23"/>
    <n v="1"/>
    <n v="0"/>
    <n v="1.1499999999999999"/>
    <n v="0"/>
    <n v="0"/>
    <n v="436"/>
    <d v="1900-01-04T08:25:52"/>
  </r>
  <r>
    <x v="11"/>
    <m/>
    <m/>
    <x v="61"/>
    <x v="4"/>
    <n v="17"/>
    <m/>
    <m/>
    <n v="7"/>
    <n v="2"/>
    <n v="0"/>
    <n v="0.35"/>
    <n v="0"/>
    <n v="0"/>
    <n v="449"/>
    <d v="1900-01-03T02:02:25"/>
  </r>
  <r>
    <x v="11"/>
    <m/>
    <m/>
    <x v="62"/>
    <x v="4"/>
    <n v="32"/>
    <m/>
    <m/>
    <n v="22"/>
    <n v="0"/>
    <n v="0"/>
    <n v="1.1000000000000001"/>
    <n v="0"/>
    <n v="0"/>
    <n v="757"/>
    <d v="1900-01-03T22:26:57"/>
  </r>
  <r>
    <x v="11"/>
    <m/>
    <m/>
    <x v="63"/>
    <x v="4"/>
    <n v="15"/>
    <m/>
    <m/>
    <n v="11"/>
    <n v="2"/>
    <n v="0"/>
    <n v="0.55000000000000004"/>
    <n v="0"/>
    <n v="0"/>
    <n v="310"/>
    <d v="1900-01-03T08:32:56"/>
  </r>
  <r>
    <x v="12"/>
    <m/>
    <m/>
    <x v="64"/>
    <x v="4"/>
    <n v="45"/>
    <m/>
    <m/>
    <n v="45"/>
    <n v="0"/>
    <n v="0"/>
    <n v="2.25"/>
    <n v="0"/>
    <n v="0"/>
    <n v="1814"/>
    <d v="1900-01-04T00:59:12"/>
  </r>
  <r>
    <x v="12"/>
    <m/>
    <m/>
    <x v="65"/>
    <x v="4"/>
    <n v="43"/>
    <m/>
    <m/>
    <n v="43"/>
    <n v="0"/>
    <n v="0"/>
    <n v="2.15"/>
    <n v="0"/>
    <n v="0"/>
    <n v="2300"/>
    <d v="1900-01-04T05:37:16"/>
  </r>
  <r>
    <x v="13"/>
    <m/>
    <m/>
    <x v="66"/>
    <x v="4"/>
    <n v="0"/>
    <m/>
    <m/>
    <n v="0"/>
    <n v="0"/>
    <n v="0"/>
    <n v="0"/>
    <n v="0"/>
    <n v="0"/>
    <n v="83"/>
    <d v="1899-12-30T00:00:00"/>
  </r>
  <r>
    <x v="13"/>
    <m/>
    <m/>
    <x v="67"/>
    <x v="4"/>
    <n v="23"/>
    <m/>
    <m/>
    <n v="17"/>
    <n v="2"/>
    <n v="1"/>
    <n v="0.85"/>
    <n v="1"/>
    <n v="17"/>
    <n v="240"/>
    <d v="1900-01-03T17:53:19"/>
  </r>
  <r>
    <x v="13"/>
    <m/>
    <m/>
    <x v="68"/>
    <x v="4"/>
    <n v="22"/>
    <m/>
    <m/>
    <n v="16"/>
    <n v="2"/>
    <n v="1"/>
    <n v="0.8"/>
    <n v="1"/>
    <n v="16"/>
    <n v="361"/>
    <d v="1900-01-04T02:26:55"/>
  </r>
  <r>
    <x v="14"/>
    <m/>
    <m/>
    <x v="69"/>
    <x v="4"/>
    <n v="15"/>
    <m/>
    <m/>
    <n v="14"/>
    <n v="3"/>
    <n v="1"/>
    <n v="0.7"/>
    <n v="1"/>
    <n v="14"/>
    <n v="259"/>
    <d v="1900-01-03T20:09:58"/>
  </r>
  <r>
    <x v="14"/>
    <m/>
    <m/>
    <x v="70"/>
    <x v="4"/>
    <n v="16"/>
    <m/>
    <m/>
    <n v="12"/>
    <n v="4"/>
    <n v="0"/>
    <n v="0.6"/>
    <n v="0"/>
    <n v="0"/>
    <n v="256"/>
    <d v="1900-01-03T14:14:01"/>
  </r>
  <r>
    <x v="14"/>
    <m/>
    <m/>
    <x v="71"/>
    <x v="4"/>
    <n v="13"/>
    <m/>
    <m/>
    <n v="11"/>
    <n v="7"/>
    <n v="0"/>
    <n v="0.55000000000000004"/>
    <n v="0"/>
    <n v="0"/>
    <n v="193"/>
    <d v="1900-01-03T19:30:32"/>
  </r>
  <r>
    <x v="14"/>
    <m/>
    <m/>
    <x v="72"/>
    <x v="4"/>
    <n v="23"/>
    <m/>
    <m/>
    <n v="22"/>
    <n v="6"/>
    <n v="0"/>
    <n v="1.1000000000000001"/>
    <n v="0"/>
    <n v="0"/>
    <n v="84"/>
    <d v="1900-01-03T18:41:05"/>
  </r>
  <r>
    <x v="15"/>
    <m/>
    <m/>
    <x v="73"/>
    <x v="5"/>
    <n v="0"/>
    <m/>
    <m/>
    <n v="0"/>
    <n v="0"/>
    <n v="0"/>
    <n v="0"/>
    <n v="0"/>
    <n v="0"/>
    <n v="696"/>
    <d v="1900-01-05T04:38:52"/>
  </r>
  <r>
    <x v="16"/>
    <m/>
    <m/>
    <x v="74"/>
    <x v="6"/>
    <n v="11"/>
    <m/>
    <m/>
    <n v="1"/>
    <n v="0"/>
    <n v="0"/>
    <n v="0.05"/>
    <n v="0"/>
    <n v="0"/>
    <n v="320"/>
    <d v="1900-01-03T07:37:56"/>
  </r>
  <r>
    <x v="17"/>
    <m/>
    <m/>
    <x v="75"/>
    <x v="6"/>
    <n v="18"/>
    <m/>
    <m/>
    <n v="4"/>
    <n v="0"/>
    <n v="0"/>
    <n v="0.2"/>
    <n v="0"/>
    <n v="0"/>
    <n v="1233"/>
    <d v="1900-01-04T13:16:33"/>
  </r>
  <r>
    <x v="17"/>
    <m/>
    <m/>
    <x v="76"/>
    <x v="6"/>
    <n v="3"/>
    <m/>
    <m/>
    <n v="2"/>
    <n v="0"/>
    <n v="0"/>
    <n v="0.1"/>
    <n v="0"/>
    <n v="0"/>
    <n v="271"/>
    <d v="1900-01-04T09:11:20"/>
  </r>
  <r>
    <x v="17"/>
    <m/>
    <m/>
    <x v="77"/>
    <x v="6"/>
    <n v="15"/>
    <m/>
    <m/>
    <n v="6"/>
    <n v="0"/>
    <n v="0"/>
    <n v="0.3"/>
    <n v="0"/>
    <n v="0"/>
    <n v="1082"/>
    <d v="1900-01-03T16:54:00"/>
  </r>
  <r>
    <x v="18"/>
    <m/>
    <m/>
    <x v="78"/>
    <x v="6"/>
    <n v="6"/>
    <m/>
    <m/>
    <n v="6"/>
    <n v="0"/>
    <n v="6"/>
    <n v="0.3"/>
    <n v="6"/>
    <n v="1"/>
    <n v="1"/>
    <d v="1899-12-30T00:05:16"/>
  </r>
  <r>
    <x v="19"/>
    <m/>
    <m/>
    <x v="79"/>
    <x v="6"/>
    <n v="30"/>
    <m/>
    <m/>
    <n v="19"/>
    <n v="0"/>
    <n v="0"/>
    <n v="0.95"/>
    <n v="0"/>
    <n v="0"/>
    <n v="854"/>
    <d v="1900-01-04T00:18:44"/>
  </r>
  <r>
    <x v="19"/>
    <m/>
    <m/>
    <x v="80"/>
    <x v="6"/>
    <n v="1"/>
    <m/>
    <m/>
    <n v="1"/>
    <n v="0"/>
    <n v="0"/>
    <n v="0.05"/>
    <n v="0"/>
    <n v="0"/>
    <n v="139"/>
    <d v="1900-01-03T04:57:51"/>
  </r>
  <r>
    <x v="19"/>
    <m/>
    <m/>
    <x v="81"/>
    <x v="6"/>
    <n v="10"/>
    <m/>
    <m/>
    <n v="6"/>
    <n v="0"/>
    <n v="1"/>
    <n v="0.3"/>
    <n v="1"/>
    <n v="6"/>
    <n v="1230"/>
    <d v="1900-01-03T22:37:42"/>
  </r>
  <r>
    <x v="19"/>
    <m/>
    <m/>
    <x v="82"/>
    <x v="6"/>
    <n v="19"/>
    <m/>
    <m/>
    <n v="8"/>
    <n v="0"/>
    <n v="0"/>
    <n v="0.4"/>
    <n v="0"/>
    <n v="0"/>
    <n v="796"/>
    <d v="1900-01-03T22:33:36"/>
  </r>
  <r>
    <x v="19"/>
    <m/>
    <m/>
    <x v="83"/>
    <x v="6"/>
    <n v="10"/>
    <m/>
    <m/>
    <n v="5"/>
    <n v="0"/>
    <n v="3"/>
    <n v="0.25"/>
    <n v="3"/>
    <n v="1.6666666666666667"/>
    <n v="594"/>
    <d v="1900-01-04T08:35:59"/>
  </r>
  <r>
    <x v="19"/>
    <m/>
    <m/>
    <x v="84"/>
    <x v="6"/>
    <n v="13"/>
    <m/>
    <m/>
    <n v="3"/>
    <n v="0"/>
    <n v="1"/>
    <n v="0.15"/>
    <n v="1"/>
    <n v="3"/>
    <n v="536"/>
    <d v="1900-01-03T11:04:09"/>
  </r>
  <r>
    <x v="19"/>
    <m/>
    <m/>
    <x v="85"/>
    <x v="6"/>
    <n v="3"/>
    <m/>
    <m/>
    <n v="0"/>
    <n v="0"/>
    <n v="0"/>
    <n v="0"/>
    <n v="0"/>
    <n v="0"/>
    <n v="578"/>
    <d v="1900-01-02T10:08:11"/>
  </r>
  <r>
    <x v="20"/>
    <m/>
    <m/>
    <x v="86"/>
    <x v="6"/>
    <n v="9"/>
    <m/>
    <m/>
    <n v="5"/>
    <n v="0"/>
    <n v="0"/>
    <n v="0.25"/>
    <n v="0"/>
    <n v="0"/>
    <n v="182"/>
    <d v="1900-01-03T17:25:07"/>
  </r>
  <r>
    <x v="20"/>
    <m/>
    <m/>
    <x v="87"/>
    <x v="6"/>
    <n v="27"/>
    <m/>
    <m/>
    <n v="15"/>
    <n v="0"/>
    <n v="2"/>
    <n v="0.75"/>
    <n v="2"/>
    <n v="7.5"/>
    <n v="1383"/>
    <d v="1900-01-04T00:08:49"/>
  </r>
  <r>
    <x v="20"/>
    <m/>
    <m/>
    <x v="88"/>
    <x v="6"/>
    <n v="4"/>
    <m/>
    <m/>
    <n v="2"/>
    <n v="0"/>
    <n v="1"/>
    <n v="0.1"/>
    <n v="1"/>
    <n v="2"/>
    <n v="974"/>
    <d v="1900-01-03T05:30:10"/>
  </r>
  <r>
    <x v="21"/>
    <m/>
    <m/>
    <x v="89"/>
    <x v="6"/>
    <n v="19"/>
    <m/>
    <m/>
    <n v="5"/>
    <n v="0"/>
    <n v="0"/>
    <n v="0.25"/>
    <n v="0"/>
    <n v="0"/>
    <n v="362"/>
    <d v="1900-01-04T20:25:40"/>
  </r>
  <r>
    <x v="21"/>
    <m/>
    <m/>
    <x v="90"/>
    <x v="6"/>
    <n v="5"/>
    <m/>
    <m/>
    <n v="2"/>
    <n v="0"/>
    <n v="0"/>
    <n v="0.1"/>
    <n v="0"/>
    <n v="0"/>
    <n v="112"/>
    <d v="1900-01-04T17:49:06"/>
  </r>
  <r>
    <x v="21"/>
    <m/>
    <m/>
    <x v="91"/>
    <x v="6"/>
    <n v="17"/>
    <m/>
    <m/>
    <n v="5"/>
    <n v="0"/>
    <n v="0"/>
    <n v="0.25"/>
    <n v="0"/>
    <n v="0"/>
    <n v="449"/>
    <d v="1900-01-04T13:06:51"/>
  </r>
  <r>
    <x v="21"/>
    <m/>
    <m/>
    <x v="92"/>
    <x v="6"/>
    <n v="15"/>
    <m/>
    <m/>
    <n v="6"/>
    <n v="0"/>
    <n v="1"/>
    <n v="0.3"/>
    <n v="1"/>
    <n v="6"/>
    <n v="365"/>
    <d v="1900-01-04T14:20:51"/>
  </r>
  <r>
    <x v="22"/>
    <m/>
    <m/>
    <x v="93"/>
    <x v="6"/>
    <n v="4"/>
    <m/>
    <m/>
    <n v="2"/>
    <n v="0"/>
    <n v="0"/>
    <n v="0.1"/>
    <n v="0"/>
    <n v="0"/>
    <n v="84"/>
    <d v="1900-01-03T10:55:55"/>
  </r>
  <r>
    <x v="22"/>
    <m/>
    <m/>
    <x v="94"/>
    <x v="6"/>
    <n v="19"/>
    <m/>
    <m/>
    <n v="13"/>
    <n v="0"/>
    <n v="1"/>
    <n v="0.65"/>
    <n v="1"/>
    <n v="13"/>
    <n v="988"/>
    <d v="1900-01-04T06:01:54"/>
  </r>
  <r>
    <x v="22"/>
    <m/>
    <m/>
    <x v="95"/>
    <x v="6"/>
    <n v="10"/>
    <m/>
    <m/>
    <n v="3"/>
    <n v="1"/>
    <n v="1"/>
    <n v="0.15"/>
    <n v="1"/>
    <n v="3"/>
    <n v="1021"/>
    <d v="1900-01-03T06:54:13"/>
  </r>
  <r>
    <x v="23"/>
    <m/>
    <m/>
    <x v="96"/>
    <x v="6"/>
    <n v="24"/>
    <m/>
    <m/>
    <n v="6"/>
    <n v="0"/>
    <n v="0"/>
    <n v="0.3"/>
    <n v="0"/>
    <n v="0"/>
    <n v="503"/>
    <d v="1900-01-03T00:52:51"/>
  </r>
  <r>
    <x v="23"/>
    <m/>
    <m/>
    <x v="97"/>
    <x v="6"/>
    <n v="0"/>
    <m/>
    <m/>
    <n v="0"/>
    <n v="0"/>
    <n v="0"/>
    <n v="0"/>
    <n v="0"/>
    <n v="0"/>
    <n v="0"/>
    <d v="1899-12-30T07:59:23"/>
  </r>
  <r>
    <x v="24"/>
    <m/>
    <m/>
    <x v="98"/>
    <x v="6"/>
    <n v="8"/>
    <m/>
    <m/>
    <n v="0"/>
    <n v="0"/>
    <n v="0"/>
    <n v="0"/>
    <n v="0"/>
    <n v="0"/>
    <n v="631"/>
    <d v="1900-01-02T18:00:25"/>
  </r>
  <r>
    <x v="24"/>
    <m/>
    <m/>
    <x v="99"/>
    <x v="6"/>
    <n v="23"/>
    <m/>
    <m/>
    <n v="11"/>
    <n v="0"/>
    <n v="0"/>
    <n v="0.55000000000000004"/>
    <n v="0"/>
    <n v="0"/>
    <n v="1254"/>
    <d v="1900-01-04T01:20:50"/>
  </r>
  <r>
    <x v="24"/>
    <m/>
    <m/>
    <x v="100"/>
    <x v="6"/>
    <n v="10"/>
    <m/>
    <m/>
    <n v="7"/>
    <n v="0"/>
    <n v="0"/>
    <n v="0.35"/>
    <n v="0"/>
    <n v="0"/>
    <n v="2279"/>
    <d v="1900-01-03T23:23:59"/>
  </r>
  <r>
    <x v="24"/>
    <m/>
    <m/>
    <x v="101"/>
    <x v="6"/>
    <n v="2"/>
    <m/>
    <m/>
    <n v="2"/>
    <n v="0"/>
    <n v="0"/>
    <n v="0.1"/>
    <n v="0"/>
    <n v="0"/>
    <n v="195"/>
    <d v="1900-01-02T13:51:47"/>
  </r>
  <r>
    <x v="25"/>
    <m/>
    <m/>
    <x v="102"/>
    <x v="6"/>
    <n v="17"/>
    <m/>
    <m/>
    <n v="3"/>
    <n v="0"/>
    <n v="0"/>
    <n v="0.15"/>
    <n v="0"/>
    <n v="0"/>
    <n v="217"/>
    <d v="1900-01-03T22:34:52"/>
  </r>
  <r>
    <x v="25"/>
    <m/>
    <m/>
    <x v="103"/>
    <x v="6"/>
    <n v="10"/>
    <m/>
    <m/>
    <n v="7"/>
    <n v="1"/>
    <n v="0"/>
    <n v="0.35"/>
    <n v="0"/>
    <n v="0"/>
    <n v="202"/>
    <d v="1900-01-03T18:52:09"/>
  </r>
  <r>
    <x v="25"/>
    <m/>
    <m/>
    <x v="104"/>
    <x v="6"/>
    <n v="16"/>
    <m/>
    <m/>
    <n v="6"/>
    <n v="0"/>
    <n v="0"/>
    <n v="0.3"/>
    <n v="0"/>
    <n v="0"/>
    <n v="757"/>
    <d v="1900-01-03T09:17:59"/>
  </r>
  <r>
    <x v="26"/>
    <m/>
    <m/>
    <x v="105"/>
    <x v="6"/>
    <n v="0"/>
    <m/>
    <m/>
    <n v="0"/>
    <n v="0"/>
    <n v="0"/>
    <n v="0"/>
    <n v="0"/>
    <n v="0"/>
    <n v="2"/>
    <d v="1899-12-30T19:37:20"/>
  </r>
  <r>
    <x v="27"/>
    <m/>
    <m/>
    <x v="106"/>
    <x v="6"/>
    <n v="6"/>
    <m/>
    <m/>
    <n v="0"/>
    <n v="0"/>
    <n v="0"/>
    <n v="0"/>
    <n v="0"/>
    <n v="0"/>
    <n v="205"/>
    <d v="1900-01-03T10:58:47"/>
  </r>
  <r>
    <x v="27"/>
    <m/>
    <m/>
    <x v="107"/>
    <x v="6"/>
    <n v="14"/>
    <m/>
    <m/>
    <n v="6"/>
    <n v="0"/>
    <n v="0"/>
    <n v="0.3"/>
    <n v="0"/>
    <n v="0"/>
    <n v="950"/>
    <d v="1900-01-04T03:29:04"/>
  </r>
  <r>
    <x v="27"/>
    <m/>
    <m/>
    <x v="108"/>
    <x v="6"/>
    <n v="1"/>
    <m/>
    <m/>
    <n v="1"/>
    <n v="0"/>
    <n v="0"/>
    <n v="0.05"/>
    <n v="0"/>
    <n v="0"/>
    <n v="71"/>
    <d v="1900-01-03T20:39:41"/>
  </r>
  <r>
    <x v="27"/>
    <m/>
    <m/>
    <x v="109"/>
    <x v="6"/>
    <n v="16"/>
    <m/>
    <m/>
    <n v="6"/>
    <n v="0"/>
    <n v="0"/>
    <n v="0.3"/>
    <n v="0"/>
    <n v="0"/>
    <n v="394"/>
    <d v="1900-01-04T04:45:10"/>
  </r>
  <r>
    <x v="27"/>
    <m/>
    <m/>
    <x v="110"/>
    <x v="6"/>
    <n v="14"/>
    <m/>
    <m/>
    <n v="5"/>
    <n v="0"/>
    <n v="0"/>
    <n v="0.25"/>
    <n v="0"/>
    <n v="0"/>
    <n v="878"/>
    <d v="1900-01-02T08:58:31"/>
  </r>
  <r>
    <x v="27"/>
    <m/>
    <m/>
    <x v="111"/>
    <x v="6"/>
    <n v="10"/>
    <m/>
    <m/>
    <n v="0"/>
    <n v="0"/>
    <n v="0"/>
    <n v="0"/>
    <n v="0"/>
    <n v="0"/>
    <n v="796"/>
    <d v="1900-01-04T00:07:28"/>
  </r>
  <r>
    <x v="28"/>
    <m/>
    <m/>
    <x v="112"/>
    <x v="6"/>
    <n v="8"/>
    <m/>
    <m/>
    <n v="0"/>
    <n v="0"/>
    <n v="0"/>
    <n v="0"/>
    <n v="0"/>
    <n v="0"/>
    <n v="1115"/>
    <d v="1900-01-04T02:23:06"/>
  </r>
  <r>
    <x v="28"/>
    <m/>
    <m/>
    <x v="113"/>
    <x v="6"/>
    <n v="19"/>
    <m/>
    <m/>
    <n v="9"/>
    <n v="0"/>
    <n v="0"/>
    <n v="0.45"/>
    <n v="0"/>
    <n v="0"/>
    <n v="679"/>
    <d v="1900-01-04T03:16:18"/>
  </r>
  <r>
    <x v="28"/>
    <m/>
    <m/>
    <x v="114"/>
    <x v="6"/>
    <n v="5"/>
    <m/>
    <m/>
    <n v="3"/>
    <n v="0"/>
    <n v="0"/>
    <n v="0.15"/>
    <n v="0"/>
    <n v="0"/>
    <n v="75"/>
    <d v="1900-01-02T19:42:14"/>
  </r>
  <r>
    <x v="28"/>
    <m/>
    <m/>
    <x v="115"/>
    <x v="6"/>
    <n v="8"/>
    <m/>
    <m/>
    <n v="2"/>
    <n v="0"/>
    <n v="0"/>
    <n v="0.1"/>
    <n v="0"/>
    <n v="0"/>
    <n v="772"/>
    <d v="1900-01-03T14:53:25"/>
  </r>
  <r>
    <x v="28"/>
    <m/>
    <m/>
    <x v="116"/>
    <x v="6"/>
    <n v="11"/>
    <m/>
    <m/>
    <n v="4"/>
    <n v="0"/>
    <n v="0"/>
    <n v="0.2"/>
    <n v="0"/>
    <n v="0"/>
    <n v="758"/>
    <d v="1900-01-03T19:44:24"/>
  </r>
  <r>
    <x v="28"/>
    <m/>
    <m/>
    <x v="117"/>
    <x v="6"/>
    <n v="9"/>
    <m/>
    <m/>
    <n v="1"/>
    <n v="0"/>
    <n v="0"/>
    <n v="0.05"/>
    <n v="0"/>
    <n v="0"/>
    <n v="543"/>
    <d v="1900-01-03T22:50:57"/>
  </r>
  <r>
    <x v="29"/>
    <m/>
    <m/>
    <x v="118"/>
    <x v="6"/>
    <n v="1"/>
    <m/>
    <m/>
    <n v="1"/>
    <n v="0"/>
    <n v="0"/>
    <n v="0.05"/>
    <n v="0"/>
    <n v="0"/>
    <n v="281"/>
    <d v="1900-01-02T23:51:08"/>
  </r>
  <r>
    <x v="29"/>
    <m/>
    <m/>
    <x v="119"/>
    <x v="6"/>
    <n v="8"/>
    <m/>
    <m/>
    <n v="2"/>
    <n v="0"/>
    <n v="0"/>
    <n v="0.1"/>
    <n v="0"/>
    <n v="0"/>
    <n v="898"/>
    <d v="1900-01-03T15:26:46"/>
  </r>
  <r>
    <x v="29"/>
    <m/>
    <m/>
    <x v="120"/>
    <x v="6"/>
    <n v="26"/>
    <m/>
    <m/>
    <n v="10"/>
    <n v="0"/>
    <n v="0"/>
    <n v="0.5"/>
    <n v="0"/>
    <n v="0"/>
    <n v="636"/>
    <d v="1900-01-04T01:30:25"/>
  </r>
  <r>
    <x v="29"/>
    <m/>
    <m/>
    <x v="121"/>
    <x v="6"/>
    <n v="18"/>
    <m/>
    <m/>
    <n v="10"/>
    <n v="0"/>
    <n v="0"/>
    <n v="0.5"/>
    <n v="0"/>
    <n v="0"/>
    <n v="488"/>
    <d v="1900-01-04T01:31:55"/>
  </r>
  <r>
    <x v="30"/>
    <m/>
    <m/>
    <x v="122"/>
    <x v="5"/>
    <n v="48"/>
    <m/>
    <m/>
    <n v="48"/>
    <n v="0"/>
    <n v="0"/>
    <n v="2.4"/>
    <n v="0"/>
    <n v="0"/>
    <n v="944"/>
    <d v="1900-01-03T22:35:32"/>
  </r>
  <r>
    <x v="30"/>
    <m/>
    <m/>
    <x v="123"/>
    <x v="5"/>
    <n v="51"/>
    <m/>
    <m/>
    <n v="51"/>
    <n v="0"/>
    <n v="0"/>
    <n v="2.5499999999999998"/>
    <n v="0"/>
    <n v="0"/>
    <n v="731"/>
    <d v="1900-01-03T19:57:19"/>
  </r>
  <r>
    <x v="30"/>
    <m/>
    <m/>
    <x v="124"/>
    <x v="5"/>
    <n v="49"/>
    <m/>
    <m/>
    <n v="49"/>
    <n v="0"/>
    <n v="0"/>
    <n v="2.4500000000000002"/>
    <n v="0"/>
    <n v="0"/>
    <n v="871"/>
    <d v="1900-01-02T23:04:05"/>
  </r>
  <r>
    <x v="30"/>
    <m/>
    <m/>
    <x v="125"/>
    <x v="5"/>
    <n v="53"/>
    <m/>
    <m/>
    <n v="52"/>
    <n v="0"/>
    <n v="0"/>
    <n v="2.6"/>
    <n v="0"/>
    <n v="0"/>
    <n v="764"/>
    <d v="1900-01-04T07:35:34"/>
  </r>
  <r>
    <x v="30"/>
    <m/>
    <m/>
    <x v="126"/>
    <x v="5"/>
    <n v="35"/>
    <m/>
    <m/>
    <n v="35"/>
    <n v="0"/>
    <n v="0"/>
    <n v="1.75"/>
    <n v="0"/>
    <n v="0"/>
    <n v="326"/>
    <d v="1900-01-04T02:24:18"/>
  </r>
  <r>
    <x v="31"/>
    <m/>
    <m/>
    <x v="127"/>
    <x v="5"/>
    <n v="16"/>
    <m/>
    <m/>
    <n v="16"/>
    <n v="0"/>
    <n v="0"/>
    <n v="0.8"/>
    <n v="0"/>
    <n v="0"/>
    <n v="502"/>
    <d v="1900-01-03T12:04:01"/>
  </r>
  <r>
    <x v="31"/>
    <m/>
    <m/>
    <x v="128"/>
    <x v="5"/>
    <n v="40"/>
    <m/>
    <m/>
    <n v="40"/>
    <n v="0"/>
    <n v="0"/>
    <n v="2"/>
    <n v="0"/>
    <n v="0"/>
    <n v="607"/>
    <d v="1900-01-03T13:03:08"/>
  </r>
  <r>
    <x v="31"/>
    <m/>
    <m/>
    <x v="129"/>
    <x v="5"/>
    <n v="42"/>
    <m/>
    <m/>
    <n v="41"/>
    <n v="1"/>
    <n v="0"/>
    <n v="2.0499999999999998"/>
    <n v="0"/>
    <n v="0"/>
    <n v="618"/>
    <d v="1900-01-03T11:30:49"/>
  </r>
  <r>
    <x v="32"/>
    <m/>
    <m/>
    <x v="130"/>
    <x v="5"/>
    <n v="47"/>
    <m/>
    <m/>
    <n v="47"/>
    <n v="0"/>
    <n v="0"/>
    <n v="2.35"/>
    <n v="0"/>
    <n v="0"/>
    <n v="550"/>
    <d v="1900-01-03T22:25:06"/>
  </r>
  <r>
    <x v="32"/>
    <m/>
    <m/>
    <x v="131"/>
    <x v="5"/>
    <n v="54"/>
    <m/>
    <m/>
    <n v="54"/>
    <n v="0"/>
    <n v="0"/>
    <n v="2.7"/>
    <n v="0"/>
    <n v="0"/>
    <n v="644"/>
    <d v="1900-01-03T15:03:16"/>
  </r>
  <r>
    <x v="33"/>
    <m/>
    <m/>
    <x v="132"/>
    <x v="5"/>
    <n v="0"/>
    <m/>
    <m/>
    <n v="0"/>
    <n v="0"/>
    <n v="0"/>
    <n v="0"/>
    <n v="0"/>
    <n v="0"/>
    <n v="0"/>
    <d v="1900-01-01T18:47:42"/>
  </r>
  <r>
    <x v="32"/>
    <m/>
    <m/>
    <x v="133"/>
    <x v="5"/>
    <n v="45"/>
    <m/>
    <m/>
    <n v="44"/>
    <n v="0"/>
    <n v="0"/>
    <n v="2.2000000000000002"/>
    <n v="0"/>
    <n v="0"/>
    <n v="1240"/>
    <d v="1900-01-03T18:54:08"/>
  </r>
  <r>
    <x v="34"/>
    <m/>
    <m/>
    <x v="134"/>
    <x v="5"/>
    <n v="5"/>
    <m/>
    <m/>
    <n v="4"/>
    <n v="0"/>
    <n v="0"/>
    <n v="0.2"/>
    <n v="0"/>
    <n v="0"/>
    <n v="64"/>
    <d v="1899-12-30T17:05:39"/>
  </r>
  <r>
    <x v="34"/>
    <m/>
    <m/>
    <x v="135"/>
    <x v="5"/>
    <n v="44"/>
    <m/>
    <m/>
    <n v="38"/>
    <n v="0"/>
    <n v="0"/>
    <n v="1.9"/>
    <n v="0"/>
    <n v="0"/>
    <n v="242"/>
    <d v="1900-01-03T21:41:37"/>
  </r>
  <r>
    <x v="34"/>
    <m/>
    <m/>
    <x v="136"/>
    <x v="5"/>
    <n v="41"/>
    <m/>
    <m/>
    <n v="39"/>
    <n v="0"/>
    <n v="0"/>
    <n v="1.95"/>
    <n v="0"/>
    <n v="0"/>
    <n v="429"/>
    <d v="1900-01-03T10:13:07"/>
  </r>
  <r>
    <x v="35"/>
    <m/>
    <m/>
    <x v="137"/>
    <x v="5"/>
    <n v="8"/>
    <m/>
    <m/>
    <n v="8"/>
    <n v="0"/>
    <n v="0"/>
    <n v="0.4"/>
    <n v="0"/>
    <n v="0"/>
    <n v="16"/>
    <d v="1899-12-30T05:37:27"/>
  </r>
  <r>
    <x v="35"/>
    <m/>
    <m/>
    <x v="138"/>
    <x v="5"/>
    <n v="29"/>
    <m/>
    <m/>
    <n v="29"/>
    <n v="0"/>
    <n v="0"/>
    <n v="1.45"/>
    <n v="0"/>
    <n v="0"/>
    <n v="528"/>
    <d v="1900-01-03T08:05:42"/>
  </r>
  <r>
    <x v="36"/>
    <m/>
    <m/>
    <x v="139"/>
    <x v="5"/>
    <n v="64"/>
    <m/>
    <m/>
    <n v="62"/>
    <n v="0"/>
    <n v="0"/>
    <n v="3.1"/>
    <n v="0"/>
    <n v="0"/>
    <n v="824"/>
    <d v="1900-01-04T01:24:10"/>
  </r>
  <r>
    <x v="36"/>
    <m/>
    <m/>
    <x v="140"/>
    <x v="5"/>
    <n v="45"/>
    <m/>
    <m/>
    <n v="45"/>
    <n v="0"/>
    <n v="0"/>
    <n v="2.25"/>
    <n v="0"/>
    <n v="0"/>
    <n v="593"/>
    <d v="1900-01-03T13:31:34"/>
  </r>
  <r>
    <x v="36"/>
    <m/>
    <m/>
    <x v="141"/>
    <x v="5"/>
    <n v="57"/>
    <m/>
    <m/>
    <n v="57"/>
    <n v="0"/>
    <n v="0"/>
    <n v="2.85"/>
    <n v="0"/>
    <n v="0"/>
    <n v="584"/>
    <d v="1900-01-03T22:02:53"/>
  </r>
  <r>
    <x v="36"/>
    <m/>
    <m/>
    <x v="142"/>
    <x v="5"/>
    <n v="50"/>
    <m/>
    <m/>
    <n v="50"/>
    <n v="0"/>
    <n v="0"/>
    <n v="2.5"/>
    <n v="0"/>
    <n v="0"/>
    <n v="711"/>
    <d v="1900-01-03T03:35:21"/>
  </r>
  <r>
    <x v="37"/>
    <m/>
    <m/>
    <x v="143"/>
    <x v="5"/>
    <n v="29"/>
    <m/>
    <m/>
    <n v="28"/>
    <n v="0"/>
    <n v="0"/>
    <n v="1.4"/>
    <n v="0"/>
    <n v="0"/>
    <n v="628"/>
    <d v="1900-01-03T22:10:46"/>
  </r>
  <r>
    <x v="38"/>
    <m/>
    <m/>
    <x v="144"/>
    <x v="7"/>
    <n v="10"/>
    <m/>
    <m/>
    <n v="7"/>
    <n v="0"/>
    <n v="0"/>
    <n v="0.35"/>
    <n v="0"/>
    <n v="0"/>
    <n v="322"/>
    <d v="1900-01-03T22:37:42"/>
  </r>
  <r>
    <x v="38"/>
    <m/>
    <m/>
    <x v="145"/>
    <x v="7"/>
    <n v="8"/>
    <m/>
    <m/>
    <n v="5"/>
    <n v="3"/>
    <n v="0"/>
    <n v="0.25"/>
    <n v="0"/>
    <n v="0"/>
    <n v="725"/>
    <d v="1900-01-04T03:06:43"/>
  </r>
  <r>
    <x v="38"/>
    <m/>
    <m/>
    <x v="146"/>
    <x v="7"/>
    <n v="7"/>
    <m/>
    <m/>
    <n v="3"/>
    <n v="0"/>
    <n v="0"/>
    <n v="0.15"/>
    <n v="0"/>
    <n v="0"/>
    <n v="1090"/>
    <d v="1900-01-04T13:47:54"/>
  </r>
  <r>
    <x v="38"/>
    <m/>
    <m/>
    <x v="147"/>
    <x v="7"/>
    <n v="0"/>
    <m/>
    <m/>
    <n v="0"/>
    <n v="0"/>
    <n v="0"/>
    <n v="0"/>
    <n v="0"/>
    <n v="0"/>
    <n v="129"/>
    <d v="1900-01-04T01:21:30"/>
  </r>
  <r>
    <x v="38"/>
    <m/>
    <m/>
    <x v="148"/>
    <x v="7"/>
    <n v="9"/>
    <m/>
    <m/>
    <n v="5"/>
    <n v="2"/>
    <n v="0"/>
    <n v="0.25"/>
    <n v="0"/>
    <n v="0"/>
    <n v="541"/>
    <d v="1900-01-03T05:48:34"/>
  </r>
  <r>
    <x v="39"/>
    <m/>
    <m/>
    <x v="149"/>
    <x v="7"/>
    <n v="0"/>
    <m/>
    <m/>
    <n v="0"/>
    <n v="0"/>
    <n v="0"/>
    <n v="0"/>
    <n v="0"/>
    <n v="0"/>
    <n v="16"/>
    <d v="1900-01-03T02:22:28"/>
  </r>
  <r>
    <x v="39"/>
    <m/>
    <m/>
    <x v="150"/>
    <x v="7"/>
    <n v="9"/>
    <m/>
    <m/>
    <n v="1"/>
    <n v="0"/>
    <n v="0"/>
    <n v="0.05"/>
    <n v="0"/>
    <n v="0"/>
    <n v="335"/>
    <d v="1900-01-03T04:58:22"/>
  </r>
  <r>
    <x v="39"/>
    <m/>
    <m/>
    <x v="151"/>
    <x v="7"/>
    <n v="5"/>
    <m/>
    <m/>
    <n v="2"/>
    <n v="0"/>
    <n v="0"/>
    <n v="0.1"/>
    <n v="0"/>
    <n v="0"/>
    <n v="940"/>
    <d v="1900-01-04T02:05:25"/>
  </r>
  <r>
    <x v="40"/>
    <m/>
    <m/>
    <x v="152"/>
    <x v="7"/>
    <n v="0"/>
    <m/>
    <m/>
    <n v="0"/>
    <n v="0"/>
    <n v="0"/>
    <n v="0"/>
    <n v="0"/>
    <n v="0"/>
    <n v="0"/>
    <d v="1899-12-30T00:00:00"/>
  </r>
  <r>
    <x v="40"/>
    <m/>
    <m/>
    <x v="153"/>
    <x v="7"/>
    <n v="0"/>
    <m/>
    <m/>
    <n v="0"/>
    <n v="0"/>
    <n v="0"/>
    <n v="0"/>
    <n v="0"/>
    <n v="0"/>
    <n v="0"/>
    <d v="1899-12-30T00:00:00"/>
  </r>
  <r>
    <x v="41"/>
    <m/>
    <m/>
    <x v="154"/>
    <x v="7"/>
    <n v="4"/>
    <m/>
    <m/>
    <n v="3"/>
    <n v="0"/>
    <n v="0"/>
    <n v="0.15"/>
    <n v="0"/>
    <n v="0"/>
    <n v="943"/>
    <d v="1900-01-03T10:22:45"/>
  </r>
  <r>
    <x v="42"/>
    <m/>
    <m/>
    <x v="155"/>
    <x v="7"/>
    <n v="7"/>
    <m/>
    <m/>
    <n v="2"/>
    <n v="0"/>
    <n v="0"/>
    <n v="0.1"/>
    <n v="0"/>
    <n v="0"/>
    <n v="511"/>
    <d v="1900-01-02T20:07:18"/>
  </r>
  <r>
    <x v="43"/>
    <m/>
    <m/>
    <x v="156"/>
    <x v="7"/>
    <n v="6"/>
    <m/>
    <m/>
    <n v="3"/>
    <n v="2"/>
    <n v="0"/>
    <n v="0.15"/>
    <n v="0"/>
    <n v="0"/>
    <n v="553"/>
    <d v="1900-01-03T05:09:11"/>
  </r>
  <r>
    <x v="43"/>
    <m/>
    <m/>
    <x v="157"/>
    <x v="7"/>
    <n v="6"/>
    <m/>
    <m/>
    <n v="3"/>
    <n v="0"/>
    <n v="0"/>
    <n v="0.15"/>
    <n v="0"/>
    <n v="0"/>
    <n v="868"/>
    <d v="1900-01-02T20:31:02"/>
  </r>
  <r>
    <x v="44"/>
    <m/>
    <m/>
    <x v="158"/>
    <x v="7"/>
    <n v="1"/>
    <m/>
    <m/>
    <n v="2"/>
    <n v="0"/>
    <n v="0"/>
    <n v="0.1"/>
    <n v="0"/>
    <n v="0"/>
    <n v="47"/>
    <d v="1900-01-02T19:28:55"/>
  </r>
  <r>
    <x v="45"/>
    <m/>
    <m/>
    <x v="159"/>
    <x v="7"/>
    <n v="3"/>
    <m/>
    <m/>
    <n v="1"/>
    <n v="0"/>
    <n v="0"/>
    <n v="0.05"/>
    <n v="0"/>
    <n v="0"/>
    <n v="824"/>
    <d v="1900-01-03T06:21:13"/>
  </r>
  <r>
    <x v="45"/>
    <m/>
    <m/>
    <x v="160"/>
    <x v="7"/>
    <n v="5"/>
    <m/>
    <m/>
    <n v="4"/>
    <n v="0"/>
    <n v="2"/>
    <n v="0.2"/>
    <n v="2"/>
    <n v="2"/>
    <n v="95"/>
    <d v="1900-01-02T10:01:03"/>
  </r>
  <r>
    <x v="45"/>
    <m/>
    <m/>
    <x v="161"/>
    <x v="7"/>
    <n v="13"/>
    <m/>
    <m/>
    <n v="9"/>
    <n v="5"/>
    <n v="0"/>
    <n v="0.45"/>
    <n v="0"/>
    <n v="0"/>
    <n v="444"/>
    <d v="1900-01-03T06:31:24"/>
  </r>
  <r>
    <x v="45"/>
    <m/>
    <m/>
    <x v="162"/>
    <x v="7"/>
    <n v="8"/>
    <m/>
    <m/>
    <n v="8"/>
    <n v="6"/>
    <n v="0"/>
    <n v="0.4"/>
    <n v="0"/>
    <n v="0"/>
    <n v="485"/>
    <d v="1900-01-02T00:33:11"/>
  </r>
  <r>
    <x v="46"/>
    <m/>
    <m/>
    <x v="163"/>
    <x v="7"/>
    <n v="10"/>
    <m/>
    <m/>
    <n v="7"/>
    <n v="0"/>
    <n v="1"/>
    <n v="0.35"/>
    <n v="1"/>
    <n v="7"/>
    <n v="533"/>
    <d v="1900-01-04T04:52:03"/>
  </r>
  <r>
    <x v="46"/>
    <m/>
    <m/>
    <x v="164"/>
    <x v="7"/>
    <n v="6"/>
    <m/>
    <m/>
    <n v="3"/>
    <n v="0"/>
    <n v="1"/>
    <n v="0.15"/>
    <n v="1"/>
    <n v="3"/>
    <n v="681"/>
    <d v="1900-01-02T18:57:08"/>
  </r>
  <r>
    <x v="46"/>
    <m/>
    <m/>
    <x v="165"/>
    <x v="7"/>
    <n v="8"/>
    <m/>
    <m/>
    <n v="3"/>
    <n v="0"/>
    <n v="0"/>
    <n v="0.15"/>
    <n v="0"/>
    <n v="0"/>
    <n v="833"/>
    <d v="1900-01-03T23:23:26"/>
  </r>
  <r>
    <x v="46"/>
    <m/>
    <m/>
    <x v="166"/>
    <x v="7"/>
    <n v="0"/>
    <m/>
    <m/>
    <n v="0"/>
    <n v="0"/>
    <n v="0"/>
    <n v="0"/>
    <n v="0"/>
    <n v="0"/>
    <n v="0"/>
    <d v="1899-12-30T00:01:29"/>
  </r>
  <r>
    <x v="47"/>
    <m/>
    <m/>
    <x v="167"/>
    <x v="8"/>
    <n v="8"/>
    <m/>
    <m/>
    <n v="2"/>
    <n v="1"/>
    <n v="1"/>
    <n v="0.1"/>
    <n v="1"/>
    <n v="2"/>
    <n v="422"/>
    <d v="1900-01-03T06:54:25"/>
  </r>
  <r>
    <x v="47"/>
    <m/>
    <m/>
    <x v="168"/>
    <x v="8"/>
    <n v="5"/>
    <m/>
    <m/>
    <n v="1"/>
    <n v="1"/>
    <n v="0"/>
    <n v="0.05"/>
    <n v="0"/>
    <n v="0"/>
    <n v="328"/>
    <d v="1900-01-04T01:53:41"/>
  </r>
  <r>
    <x v="47"/>
    <m/>
    <m/>
    <x v="169"/>
    <x v="8"/>
    <n v="6"/>
    <m/>
    <m/>
    <n v="3"/>
    <n v="1"/>
    <n v="0"/>
    <n v="0.15"/>
    <n v="0"/>
    <n v="0"/>
    <n v="202"/>
    <d v="1900-01-03T01:12:11"/>
  </r>
  <r>
    <x v="47"/>
    <m/>
    <m/>
    <x v="170"/>
    <x v="8"/>
    <n v="0"/>
    <m/>
    <m/>
    <n v="0"/>
    <n v="0"/>
    <n v="0"/>
    <n v="0"/>
    <n v="0"/>
    <n v="0"/>
    <n v="1"/>
    <d v="1899-12-30T22:20:41"/>
  </r>
  <r>
    <x v="48"/>
    <m/>
    <m/>
    <x v="171"/>
    <x v="8"/>
    <n v="7"/>
    <m/>
    <m/>
    <n v="4"/>
    <n v="0"/>
    <n v="0"/>
    <n v="0.2"/>
    <n v="0"/>
    <n v="0"/>
    <n v="344"/>
    <d v="1900-01-03T12:09:48"/>
  </r>
  <r>
    <x v="48"/>
    <m/>
    <m/>
    <x v="172"/>
    <x v="8"/>
    <n v="0"/>
    <m/>
    <m/>
    <n v="0"/>
    <n v="0"/>
    <n v="0"/>
    <n v="0"/>
    <n v="0"/>
    <n v="0"/>
    <n v="0"/>
    <d v="1900-01-01T04:33:02"/>
  </r>
  <r>
    <x v="48"/>
    <m/>
    <m/>
    <x v="173"/>
    <x v="8"/>
    <n v="3"/>
    <m/>
    <m/>
    <n v="0"/>
    <n v="0"/>
    <n v="0"/>
    <n v="0"/>
    <n v="0"/>
    <n v="0"/>
    <n v="402"/>
    <d v="1900-01-03T17:16:49"/>
  </r>
  <r>
    <x v="48"/>
    <m/>
    <m/>
    <x v="174"/>
    <x v="8"/>
    <n v="6"/>
    <m/>
    <m/>
    <n v="1"/>
    <n v="1"/>
    <n v="0"/>
    <n v="0.05"/>
    <n v="0"/>
    <n v="0"/>
    <n v="627"/>
    <d v="1900-01-04T08:40:34"/>
  </r>
  <r>
    <x v="48"/>
    <m/>
    <m/>
    <x v="175"/>
    <x v="8"/>
    <n v="5"/>
    <m/>
    <m/>
    <n v="2"/>
    <n v="0"/>
    <n v="0"/>
    <n v="0.1"/>
    <n v="0"/>
    <n v="0"/>
    <n v="369"/>
    <d v="1900-01-03T14:49:03"/>
  </r>
  <r>
    <x v="49"/>
    <m/>
    <m/>
    <x v="176"/>
    <x v="9"/>
    <n v="0"/>
    <m/>
    <m/>
    <n v="0"/>
    <n v="0"/>
    <n v="0"/>
    <n v="0"/>
    <n v="0"/>
    <n v="0"/>
    <n v="486"/>
    <d v="1900-01-02T20:15:07"/>
  </r>
  <r>
    <x v="49"/>
    <m/>
    <m/>
    <x v="177"/>
    <x v="9"/>
    <n v="13"/>
    <m/>
    <m/>
    <n v="1"/>
    <n v="0"/>
    <n v="1"/>
    <n v="0.05"/>
    <n v="1"/>
    <n v="1"/>
    <n v="744"/>
    <d v="1900-01-03T17:37:08"/>
  </r>
  <r>
    <x v="49"/>
    <m/>
    <m/>
    <x v="178"/>
    <x v="9"/>
    <n v="13"/>
    <m/>
    <m/>
    <n v="13"/>
    <n v="2"/>
    <n v="1"/>
    <n v="0.65"/>
    <n v="1"/>
    <n v="13"/>
    <n v="758"/>
    <d v="1900-01-03T17:59:20"/>
  </r>
  <r>
    <x v="50"/>
    <m/>
    <m/>
    <x v="179"/>
    <x v="9"/>
    <n v="12"/>
    <m/>
    <m/>
    <n v="10"/>
    <n v="2"/>
    <n v="1"/>
    <n v="0.5"/>
    <n v="1"/>
    <n v="10"/>
    <n v="206"/>
    <d v="1900-01-03T18:28:17"/>
  </r>
  <r>
    <x v="50"/>
    <m/>
    <m/>
    <x v="180"/>
    <x v="9"/>
    <n v="8"/>
    <m/>
    <m/>
    <n v="8"/>
    <n v="0"/>
    <n v="0"/>
    <n v="0.4"/>
    <n v="0"/>
    <n v="0"/>
    <n v="371"/>
    <d v="1900-01-03T19:00:48"/>
  </r>
  <r>
    <x v="50"/>
    <m/>
    <m/>
    <x v="181"/>
    <x v="9"/>
    <n v="22"/>
    <m/>
    <m/>
    <n v="21"/>
    <n v="1"/>
    <n v="0"/>
    <n v="1.05"/>
    <n v="0"/>
    <n v="0"/>
    <n v="759"/>
    <d v="1900-01-03T14:16:03"/>
  </r>
  <r>
    <x v="51"/>
    <m/>
    <m/>
    <x v="182"/>
    <x v="9"/>
    <n v="18"/>
    <m/>
    <m/>
    <n v="12"/>
    <n v="3"/>
    <n v="3"/>
    <n v="0.6"/>
    <n v="3"/>
    <n v="4"/>
    <n v="446"/>
    <d v="1900-01-03T14:12:48"/>
  </r>
  <r>
    <x v="52"/>
    <m/>
    <m/>
    <x v="183"/>
    <x v="9"/>
    <n v="13"/>
    <m/>
    <m/>
    <n v="12"/>
    <n v="0"/>
    <n v="1"/>
    <n v="0.6"/>
    <n v="1"/>
    <n v="12"/>
    <n v="532"/>
    <d v="1900-01-03T19:15:51"/>
  </r>
  <r>
    <x v="53"/>
    <m/>
    <m/>
    <x v="184"/>
    <x v="9"/>
    <n v="11"/>
    <m/>
    <m/>
    <n v="11"/>
    <n v="2"/>
    <n v="1"/>
    <n v="0.55000000000000004"/>
    <n v="1"/>
    <n v="11"/>
    <n v="507"/>
    <d v="1900-01-03T15:03:01"/>
  </r>
  <r>
    <x v="53"/>
    <m/>
    <m/>
    <x v="185"/>
    <x v="9"/>
    <n v="11"/>
    <m/>
    <m/>
    <n v="11"/>
    <n v="0"/>
    <n v="0"/>
    <n v="0.55000000000000004"/>
    <n v="0"/>
    <n v="0"/>
    <n v="364"/>
    <d v="1900-01-04T01:46:11"/>
  </r>
  <r>
    <x v="53"/>
    <m/>
    <m/>
    <x v="186"/>
    <x v="9"/>
    <n v="15"/>
    <m/>
    <m/>
    <n v="14"/>
    <n v="0"/>
    <n v="1"/>
    <n v="0.7"/>
    <n v="1"/>
    <n v="14"/>
    <n v="1009"/>
    <d v="1900-01-04T08:57:44"/>
  </r>
  <r>
    <x v="54"/>
    <m/>
    <m/>
    <x v="187"/>
    <x v="9"/>
    <n v="19"/>
    <m/>
    <m/>
    <n v="18"/>
    <n v="4"/>
    <n v="2"/>
    <n v="0.9"/>
    <n v="2"/>
    <n v="9"/>
    <n v="378"/>
    <d v="1900-01-04T07:24:23"/>
  </r>
  <r>
    <x v="54"/>
    <m/>
    <m/>
    <x v="188"/>
    <x v="9"/>
    <n v="9"/>
    <m/>
    <m/>
    <n v="9"/>
    <n v="1"/>
    <n v="4"/>
    <n v="0.45"/>
    <n v="4"/>
    <n v="2.25"/>
    <n v="318"/>
    <d v="1900-01-04T05:44:37"/>
  </r>
  <r>
    <x v="55"/>
    <m/>
    <m/>
    <x v="189"/>
    <x v="9"/>
    <n v="19"/>
    <m/>
    <m/>
    <n v="9"/>
    <n v="0"/>
    <n v="1"/>
    <n v="0.45"/>
    <n v="1"/>
    <n v="9"/>
    <n v="544"/>
    <d v="1900-01-03T23:31:36"/>
  </r>
  <r>
    <x v="56"/>
    <m/>
    <m/>
    <x v="190"/>
    <x v="9"/>
    <n v="9"/>
    <m/>
    <m/>
    <n v="5"/>
    <n v="1"/>
    <n v="0"/>
    <n v="0.25"/>
    <n v="0"/>
    <n v="0"/>
    <n v="145"/>
    <d v="1900-01-03T00:38:25"/>
  </r>
  <r>
    <x v="56"/>
    <m/>
    <m/>
    <x v="191"/>
    <x v="9"/>
    <n v="14"/>
    <m/>
    <m/>
    <n v="6"/>
    <n v="0"/>
    <n v="6"/>
    <n v="0.3"/>
    <n v="6"/>
    <n v="1"/>
    <n v="978"/>
    <d v="1900-01-03T14:28:34"/>
  </r>
  <r>
    <x v="56"/>
    <m/>
    <m/>
    <x v="192"/>
    <x v="9"/>
    <n v="24"/>
    <m/>
    <m/>
    <n v="11"/>
    <n v="3"/>
    <n v="1"/>
    <n v="0.55000000000000004"/>
    <n v="1"/>
    <n v="11"/>
    <n v="623"/>
    <d v="1900-01-04T01:52:46"/>
  </r>
  <r>
    <x v="57"/>
    <m/>
    <m/>
    <x v="193"/>
    <x v="9"/>
    <n v="25"/>
    <m/>
    <m/>
    <n v="2"/>
    <n v="1"/>
    <n v="3"/>
    <n v="0.1"/>
    <n v="3"/>
    <n v="0.66666666666666663"/>
    <n v="148"/>
    <d v="1900-01-04T04:54:56"/>
  </r>
  <r>
    <x v="57"/>
    <m/>
    <m/>
    <x v="194"/>
    <x v="9"/>
    <n v="45"/>
    <m/>
    <m/>
    <n v="9"/>
    <n v="0"/>
    <n v="2"/>
    <n v="0.45"/>
    <n v="2"/>
    <n v="4.5"/>
    <n v="679"/>
    <d v="1900-01-04T12:39:16"/>
  </r>
  <r>
    <x v="58"/>
    <m/>
    <m/>
    <x v="195"/>
    <x v="9"/>
    <n v="19"/>
    <m/>
    <m/>
    <n v="7"/>
    <n v="0"/>
    <n v="0"/>
    <n v="0.35"/>
    <n v="0"/>
    <n v="0"/>
    <n v="112"/>
    <d v="1900-01-03T12:37:17"/>
  </r>
  <r>
    <x v="58"/>
    <m/>
    <m/>
    <x v="196"/>
    <x v="9"/>
    <n v="17"/>
    <m/>
    <m/>
    <n v="8"/>
    <n v="2"/>
    <n v="3"/>
    <n v="0.4"/>
    <n v="3"/>
    <n v="2.6666666666666665"/>
    <n v="1116"/>
    <d v="1900-01-04T09:18:55"/>
  </r>
  <r>
    <x v="58"/>
    <m/>
    <m/>
    <x v="197"/>
    <x v="9"/>
    <n v="39"/>
    <m/>
    <m/>
    <n v="18"/>
    <n v="0"/>
    <n v="3"/>
    <n v="0.9"/>
    <n v="3"/>
    <n v="6"/>
    <n v="558"/>
    <d v="1900-01-04T10:00:00"/>
  </r>
  <r>
    <x v="58"/>
    <m/>
    <m/>
    <x v="198"/>
    <x v="9"/>
    <n v="15"/>
    <m/>
    <m/>
    <n v="9"/>
    <n v="1"/>
    <n v="1"/>
    <n v="0.45"/>
    <n v="1"/>
    <n v="9"/>
    <n v="842"/>
    <d v="1900-01-04T12:14:59"/>
  </r>
  <r>
    <x v="55"/>
    <m/>
    <m/>
    <x v="199"/>
    <x v="9"/>
    <n v="11"/>
    <m/>
    <m/>
    <n v="5"/>
    <n v="0"/>
    <n v="0"/>
    <n v="0.25"/>
    <n v="0"/>
    <n v="0"/>
    <n v="108"/>
    <d v="1900-01-03T17:14:02"/>
  </r>
  <r>
    <x v="55"/>
    <m/>
    <m/>
    <x v="200"/>
    <x v="9"/>
    <n v="28"/>
    <m/>
    <m/>
    <n v="19"/>
    <n v="0"/>
    <n v="1"/>
    <n v="0.95"/>
    <n v="1"/>
    <n v="19"/>
    <n v="677"/>
    <d v="1900-01-04T03:05:30"/>
  </r>
  <r>
    <x v="55"/>
    <m/>
    <m/>
    <x v="201"/>
    <x v="9"/>
    <n v="18"/>
    <m/>
    <m/>
    <n v="10"/>
    <n v="1"/>
    <n v="1"/>
    <n v="0.5"/>
    <n v="1"/>
    <n v="10"/>
    <n v="821"/>
    <d v="1900-01-04T05:56:35"/>
  </r>
  <r>
    <x v="59"/>
    <m/>
    <m/>
    <x v="202"/>
    <x v="10"/>
    <n v="18"/>
    <m/>
    <m/>
    <n v="3"/>
    <n v="2"/>
    <n v="0"/>
    <n v="0.15"/>
    <n v="0"/>
    <n v="0"/>
    <n v="98"/>
    <d v="1900-01-03T01:45:48"/>
  </r>
  <r>
    <x v="59"/>
    <m/>
    <m/>
    <x v="203"/>
    <x v="10"/>
    <n v="14"/>
    <m/>
    <m/>
    <n v="7"/>
    <n v="1"/>
    <n v="0"/>
    <n v="0.35"/>
    <n v="0"/>
    <n v="0"/>
    <n v="268"/>
    <d v="1900-01-03T00:33:55"/>
  </r>
  <r>
    <x v="59"/>
    <m/>
    <m/>
    <x v="204"/>
    <x v="10"/>
    <n v="0"/>
    <m/>
    <m/>
    <n v="0"/>
    <n v="0"/>
    <n v="0"/>
    <n v="0"/>
    <n v="0"/>
    <n v="0"/>
    <n v="8"/>
    <d v="1899-12-30T08:27:06"/>
  </r>
  <r>
    <x v="60"/>
    <m/>
    <m/>
    <x v="205"/>
    <x v="10"/>
    <n v="18"/>
    <m/>
    <m/>
    <n v="10"/>
    <n v="0"/>
    <n v="1"/>
    <n v="0.5"/>
    <n v="1"/>
    <n v="10"/>
    <n v="579"/>
    <d v="1900-01-03T09:18:43"/>
  </r>
  <r>
    <x v="60"/>
    <m/>
    <m/>
    <x v="206"/>
    <x v="10"/>
    <n v="9"/>
    <m/>
    <m/>
    <n v="7"/>
    <n v="2"/>
    <n v="0"/>
    <n v="0.35"/>
    <n v="0"/>
    <n v="0"/>
    <n v="65"/>
    <d v="1900-01-03T14:37:42"/>
  </r>
  <r>
    <x v="60"/>
    <m/>
    <m/>
    <x v="207"/>
    <x v="10"/>
    <n v="18"/>
    <m/>
    <m/>
    <n v="8"/>
    <n v="6"/>
    <n v="1"/>
    <n v="0.4"/>
    <n v="1"/>
    <n v="8"/>
    <n v="787"/>
    <d v="1900-01-04T10:43:29"/>
  </r>
  <r>
    <x v="60"/>
    <m/>
    <m/>
    <x v="208"/>
    <x v="10"/>
    <n v="0"/>
    <m/>
    <m/>
    <n v="0"/>
    <n v="0"/>
    <n v="1"/>
    <n v="0"/>
    <n v="1"/>
    <n v="0"/>
    <n v="3"/>
    <d v="1899-12-31T02:50:29"/>
  </r>
  <r>
    <x v="60"/>
    <m/>
    <m/>
    <x v="209"/>
    <x v="10"/>
    <n v="17"/>
    <m/>
    <m/>
    <n v="11"/>
    <n v="6"/>
    <n v="0"/>
    <n v="0.55000000000000004"/>
    <n v="0"/>
    <n v="0"/>
    <n v="676"/>
    <d v="1900-01-04T11:48:29"/>
  </r>
  <r>
    <x v="60"/>
    <m/>
    <m/>
    <x v="210"/>
    <x v="10"/>
    <n v="4"/>
    <m/>
    <m/>
    <n v="0"/>
    <n v="0"/>
    <n v="0"/>
    <n v="0"/>
    <n v="0"/>
    <n v="0"/>
    <n v="639"/>
    <d v="1900-01-04T13:10:18"/>
  </r>
  <r>
    <x v="60"/>
    <m/>
    <m/>
    <x v="211"/>
    <x v="10"/>
    <n v="20"/>
    <m/>
    <m/>
    <n v="5"/>
    <n v="1"/>
    <n v="0"/>
    <n v="0.25"/>
    <n v="0"/>
    <n v="0"/>
    <n v="813"/>
    <d v="1900-01-04T11:09:01"/>
  </r>
  <r>
    <x v="60"/>
    <m/>
    <m/>
    <x v="212"/>
    <x v="10"/>
    <n v="10"/>
    <m/>
    <m/>
    <n v="5"/>
    <n v="1"/>
    <n v="0"/>
    <n v="0.25"/>
    <n v="0"/>
    <n v="0"/>
    <n v="627"/>
    <d v="1900-01-04T09:44:44"/>
  </r>
  <r>
    <x v="61"/>
    <m/>
    <m/>
    <x v="213"/>
    <x v="10"/>
    <n v="2"/>
    <m/>
    <m/>
    <n v="0"/>
    <n v="0"/>
    <n v="0"/>
    <n v="0"/>
    <n v="0"/>
    <n v="0"/>
    <n v="65"/>
    <d v="1900-01-02T06:21:46"/>
  </r>
  <r>
    <x v="61"/>
    <m/>
    <m/>
    <x v="214"/>
    <x v="10"/>
    <n v="8"/>
    <m/>
    <m/>
    <n v="4"/>
    <n v="0"/>
    <n v="0"/>
    <n v="0.2"/>
    <n v="0"/>
    <n v="0"/>
    <n v="275"/>
    <d v="1900-01-03T03:14:07"/>
  </r>
  <r>
    <x v="61"/>
    <m/>
    <m/>
    <x v="215"/>
    <x v="10"/>
    <n v="8"/>
    <m/>
    <m/>
    <n v="6"/>
    <n v="0"/>
    <n v="0"/>
    <n v="0.3"/>
    <n v="0"/>
    <n v="0"/>
    <n v="218"/>
    <d v="1900-01-04T00:27:48"/>
  </r>
  <r>
    <x v="61"/>
    <m/>
    <m/>
    <x v="216"/>
    <x v="10"/>
    <n v="9"/>
    <m/>
    <m/>
    <n v="10"/>
    <n v="0"/>
    <n v="1"/>
    <n v="0.5"/>
    <n v="1"/>
    <n v="10"/>
    <n v="12"/>
    <d v="1900-01-01T21:03:19"/>
  </r>
  <r>
    <x v="61"/>
    <m/>
    <m/>
    <x v="217"/>
    <x v="10"/>
    <n v="2"/>
    <m/>
    <m/>
    <n v="1"/>
    <n v="0"/>
    <n v="0"/>
    <n v="0.05"/>
    <n v="0"/>
    <n v="0"/>
    <n v="6"/>
    <d v="1900-01-01T12:11:47"/>
  </r>
  <r>
    <x v="61"/>
    <m/>
    <m/>
    <x v="218"/>
    <x v="10"/>
    <n v="13"/>
    <m/>
    <m/>
    <n v="6"/>
    <n v="0"/>
    <n v="0"/>
    <n v="0.3"/>
    <n v="0"/>
    <n v="0"/>
    <n v="376"/>
    <d v="1900-01-04T00:55:48"/>
  </r>
  <r>
    <x v="62"/>
    <m/>
    <m/>
    <x v="219"/>
    <x v="10"/>
    <n v="9"/>
    <m/>
    <m/>
    <n v="9"/>
    <n v="0"/>
    <n v="0"/>
    <n v="0.45"/>
    <n v="0"/>
    <n v="0"/>
    <n v="119"/>
    <d v="1900-01-03T17:58:56"/>
  </r>
  <r>
    <x v="62"/>
    <m/>
    <m/>
    <x v="220"/>
    <x v="10"/>
    <n v="25"/>
    <m/>
    <m/>
    <n v="21"/>
    <n v="4"/>
    <n v="1"/>
    <n v="1.05"/>
    <n v="1"/>
    <n v="21"/>
    <n v="286"/>
    <d v="1900-01-03T17:32:12"/>
  </r>
  <r>
    <x v="62"/>
    <m/>
    <m/>
    <x v="221"/>
    <x v="10"/>
    <n v="11"/>
    <m/>
    <m/>
    <n v="10"/>
    <n v="1"/>
    <n v="1"/>
    <n v="0.5"/>
    <n v="1"/>
    <n v="10"/>
    <n v="426"/>
    <d v="1900-01-04T03:19:25"/>
  </r>
  <r>
    <x v="62"/>
    <m/>
    <m/>
    <x v="222"/>
    <x v="10"/>
    <n v="19"/>
    <m/>
    <m/>
    <n v="17"/>
    <n v="1"/>
    <n v="0"/>
    <n v="0.85"/>
    <n v="0"/>
    <n v="0"/>
    <n v="652"/>
    <d v="1900-01-03T10:38:02"/>
  </r>
  <r>
    <x v="63"/>
    <m/>
    <m/>
    <x v="223"/>
    <x v="11"/>
    <n v="13"/>
    <m/>
    <m/>
    <n v="13"/>
    <n v="0"/>
    <n v="0"/>
    <n v="0.65"/>
    <n v="0"/>
    <n v="0"/>
    <n v="106"/>
    <d v="1900-01-03T21:26:46"/>
  </r>
  <r>
    <x v="63"/>
    <m/>
    <m/>
    <x v="224"/>
    <x v="11"/>
    <n v="16"/>
    <m/>
    <m/>
    <n v="16"/>
    <n v="0"/>
    <n v="0"/>
    <n v="0.8"/>
    <n v="0"/>
    <n v="0"/>
    <n v="355"/>
    <d v="1900-01-04T00:01:33"/>
  </r>
  <r>
    <x v="63"/>
    <m/>
    <m/>
    <x v="225"/>
    <x v="11"/>
    <n v="0"/>
    <m/>
    <m/>
    <n v="0"/>
    <n v="0"/>
    <n v="1"/>
    <n v="0"/>
    <n v="1"/>
    <n v="0"/>
    <n v="2"/>
    <d v="1900-01-03T16:59:19"/>
  </r>
  <r>
    <x v="63"/>
    <m/>
    <m/>
    <x v="226"/>
    <x v="11"/>
    <n v="13"/>
    <m/>
    <m/>
    <n v="13"/>
    <n v="0"/>
    <n v="0"/>
    <n v="0.65"/>
    <n v="0"/>
    <n v="0"/>
    <n v="88"/>
    <d v="1900-01-04T05:04:22"/>
  </r>
  <r>
    <x v="63"/>
    <m/>
    <m/>
    <x v="227"/>
    <x v="11"/>
    <n v="2"/>
    <m/>
    <m/>
    <n v="2"/>
    <n v="0"/>
    <n v="0"/>
    <n v="0.1"/>
    <n v="0"/>
    <n v="0"/>
    <n v="35"/>
    <d v="1899-12-31T17:12:44"/>
  </r>
  <r>
    <x v="63"/>
    <m/>
    <m/>
    <x v="228"/>
    <x v="11"/>
    <n v="1"/>
    <m/>
    <m/>
    <n v="1"/>
    <n v="0"/>
    <n v="1"/>
    <n v="0.05"/>
    <n v="1"/>
    <n v="1"/>
    <n v="1"/>
    <d v="1900-01-01T22:42:34"/>
  </r>
  <r>
    <x v="63"/>
    <m/>
    <m/>
    <x v="229"/>
    <x v="11"/>
    <n v="7"/>
    <m/>
    <m/>
    <n v="7"/>
    <n v="0"/>
    <n v="0"/>
    <n v="0.35"/>
    <n v="0"/>
    <n v="0"/>
    <n v="60"/>
    <d v="1900-01-03T18:21:59"/>
  </r>
  <r>
    <x v="64"/>
    <m/>
    <m/>
    <x v="230"/>
    <x v="11"/>
    <n v="28"/>
    <m/>
    <m/>
    <n v="26"/>
    <n v="0"/>
    <n v="0"/>
    <n v="1.3"/>
    <n v="0"/>
    <n v="0"/>
    <n v="364"/>
    <d v="1900-01-04T07:04:19"/>
  </r>
  <r>
    <x v="65"/>
    <m/>
    <m/>
    <x v="231"/>
    <x v="11"/>
    <n v="0"/>
    <m/>
    <m/>
    <n v="0"/>
    <n v="0"/>
    <n v="0"/>
    <n v="0"/>
    <n v="0"/>
    <n v="0"/>
    <n v="1"/>
    <d v="1900-01-01T09:49:22"/>
  </r>
  <r>
    <x v="65"/>
    <m/>
    <m/>
    <x v="232"/>
    <x v="11"/>
    <n v="0"/>
    <m/>
    <m/>
    <n v="0"/>
    <n v="0"/>
    <n v="0"/>
    <n v="0"/>
    <n v="0"/>
    <n v="0"/>
    <n v="0"/>
    <d v="1899-12-30T03:31:45"/>
  </r>
  <r>
    <x v="66"/>
    <m/>
    <m/>
    <x v="233"/>
    <x v="11"/>
    <n v="15"/>
    <m/>
    <m/>
    <n v="9"/>
    <n v="5"/>
    <n v="0"/>
    <n v="0.45"/>
    <n v="0"/>
    <n v="0"/>
    <n v="170"/>
    <d v="1900-01-03T18:07:46"/>
  </r>
  <r>
    <x v="66"/>
    <m/>
    <m/>
    <x v="234"/>
    <x v="11"/>
    <n v="11"/>
    <m/>
    <m/>
    <n v="6"/>
    <n v="0"/>
    <n v="0"/>
    <n v="0.3"/>
    <n v="0"/>
    <n v="0"/>
    <n v="312"/>
    <d v="1900-01-03T22:01:55"/>
  </r>
  <r>
    <x v="66"/>
    <m/>
    <m/>
    <x v="235"/>
    <x v="11"/>
    <n v="10"/>
    <m/>
    <m/>
    <n v="4"/>
    <n v="0"/>
    <n v="0"/>
    <n v="0.2"/>
    <n v="0"/>
    <n v="0"/>
    <n v="352"/>
    <d v="1900-01-03T20:57:04"/>
  </r>
  <r>
    <x v="67"/>
    <m/>
    <m/>
    <x v="236"/>
    <x v="11"/>
    <n v="9"/>
    <m/>
    <m/>
    <n v="9"/>
    <n v="0"/>
    <n v="1"/>
    <n v="0.45"/>
    <n v="1"/>
    <n v="9"/>
    <n v="71"/>
    <d v="1900-01-03T22:52:08"/>
  </r>
  <r>
    <x v="67"/>
    <m/>
    <m/>
    <x v="237"/>
    <x v="11"/>
    <n v="0"/>
    <m/>
    <m/>
    <n v="0"/>
    <n v="0"/>
    <n v="0"/>
    <n v="0"/>
    <n v="0"/>
    <n v="0"/>
    <n v="0"/>
    <d v="1899-12-30T00:00:00"/>
  </r>
  <r>
    <x v="67"/>
    <m/>
    <m/>
    <x v="238"/>
    <x v="11"/>
    <n v="13"/>
    <m/>
    <m/>
    <n v="13"/>
    <n v="6"/>
    <n v="1"/>
    <n v="0.65"/>
    <n v="1"/>
    <n v="13"/>
    <n v="56"/>
    <d v="1900-01-04T01:29:49"/>
  </r>
  <r>
    <x v="67"/>
    <m/>
    <m/>
    <x v="239"/>
    <x v="11"/>
    <n v="24"/>
    <m/>
    <m/>
    <n v="24"/>
    <n v="2"/>
    <n v="2"/>
    <n v="1.2"/>
    <n v="2"/>
    <n v="12"/>
    <n v="342"/>
    <d v="1900-01-04T07:24:10"/>
  </r>
  <r>
    <x v="68"/>
    <m/>
    <m/>
    <x v="240"/>
    <x v="11"/>
    <n v="17"/>
    <m/>
    <m/>
    <n v="17"/>
    <n v="0"/>
    <n v="0"/>
    <n v="0.85"/>
    <n v="0"/>
    <n v="0"/>
    <n v="132"/>
    <d v="1900-01-04T07:26:07"/>
  </r>
  <r>
    <x v="68"/>
    <m/>
    <m/>
    <x v="241"/>
    <x v="11"/>
    <n v="9"/>
    <m/>
    <m/>
    <n v="9"/>
    <n v="3"/>
    <n v="0"/>
    <n v="0.45"/>
    <n v="0"/>
    <n v="0"/>
    <n v="52"/>
    <d v="1900-01-02T23:59:34"/>
  </r>
  <r>
    <x v="68"/>
    <m/>
    <m/>
    <x v="242"/>
    <x v="11"/>
    <n v="6"/>
    <m/>
    <m/>
    <n v="6"/>
    <n v="0"/>
    <n v="1"/>
    <n v="0.3"/>
    <n v="1"/>
    <n v="6"/>
    <n v="16"/>
    <d v="1900-01-03T12:34:27"/>
  </r>
  <r>
    <x v="69"/>
    <m/>
    <m/>
    <x v="243"/>
    <x v="12"/>
    <n v="0"/>
    <m/>
    <m/>
    <n v="0"/>
    <n v="0"/>
    <n v="0"/>
    <n v="0"/>
    <n v="0"/>
    <n v="0"/>
    <n v="9"/>
    <d v="1900-01-01T15:22:40"/>
  </r>
  <r>
    <x v="69"/>
    <m/>
    <m/>
    <x v="244"/>
    <x v="12"/>
    <n v="16"/>
    <m/>
    <m/>
    <n v="15"/>
    <n v="0"/>
    <n v="1"/>
    <n v="0.75"/>
    <n v="1"/>
    <n v="15"/>
    <n v="459"/>
    <d v="1900-01-04T18:26:26"/>
  </r>
  <r>
    <x v="69"/>
    <m/>
    <m/>
    <x v="245"/>
    <x v="12"/>
    <n v="21"/>
    <m/>
    <m/>
    <n v="14"/>
    <n v="1"/>
    <n v="0"/>
    <n v="0.7"/>
    <n v="0"/>
    <n v="0"/>
    <n v="322"/>
    <d v="1900-01-03T21:04:22"/>
  </r>
  <r>
    <x v="69"/>
    <m/>
    <m/>
    <x v="246"/>
    <x v="12"/>
    <n v="9"/>
    <m/>
    <m/>
    <n v="6"/>
    <n v="0"/>
    <n v="1"/>
    <n v="0.3"/>
    <n v="1"/>
    <n v="6"/>
    <n v="351"/>
    <d v="1900-01-03T21:50:07"/>
  </r>
  <r>
    <x v="69"/>
    <m/>
    <m/>
    <x v="247"/>
    <x v="12"/>
    <n v="9"/>
    <m/>
    <m/>
    <n v="6"/>
    <n v="0"/>
    <n v="0"/>
    <n v="0.3"/>
    <n v="0"/>
    <n v="0"/>
    <n v="201"/>
    <d v="1900-01-03T20:18:46"/>
  </r>
  <r>
    <x v="69"/>
    <m/>
    <m/>
    <x v="248"/>
    <x v="12"/>
    <n v="16"/>
    <m/>
    <m/>
    <n v="9"/>
    <n v="1"/>
    <n v="1"/>
    <n v="0.45"/>
    <n v="1"/>
    <n v="9"/>
    <n v="286"/>
    <d v="1900-01-04T04:24:08"/>
  </r>
  <r>
    <x v="69"/>
    <m/>
    <m/>
    <x v="249"/>
    <x v="12"/>
    <n v="6"/>
    <m/>
    <m/>
    <n v="5"/>
    <n v="1"/>
    <n v="0"/>
    <n v="0.25"/>
    <n v="0"/>
    <n v="0"/>
    <n v="415"/>
    <d v="1900-01-01T04:08:45"/>
  </r>
  <r>
    <x v="69"/>
    <m/>
    <m/>
    <x v="250"/>
    <x v="12"/>
    <n v="13"/>
    <m/>
    <m/>
    <n v="6"/>
    <n v="1"/>
    <n v="1"/>
    <n v="0.3"/>
    <n v="1"/>
    <n v="6"/>
    <n v="375"/>
    <d v="1900-01-03T02:39:18"/>
  </r>
  <r>
    <x v="69"/>
    <m/>
    <m/>
    <x v="251"/>
    <x v="12"/>
    <n v="7"/>
    <m/>
    <m/>
    <n v="3"/>
    <n v="0"/>
    <n v="0"/>
    <n v="0.15"/>
    <n v="0"/>
    <n v="0"/>
    <n v="505"/>
    <d v="1900-01-03T23:22:01"/>
  </r>
  <r>
    <x v="70"/>
    <m/>
    <m/>
    <x v="252"/>
    <x v="12"/>
    <n v="0"/>
    <m/>
    <m/>
    <n v="0"/>
    <n v="0"/>
    <n v="0"/>
    <n v="0"/>
    <n v="0"/>
    <n v="0"/>
    <n v="33"/>
    <d v="1900-01-03T07:33:39"/>
  </r>
  <r>
    <x v="70"/>
    <m/>
    <m/>
    <x v="253"/>
    <x v="12"/>
    <n v="10"/>
    <m/>
    <m/>
    <n v="11"/>
    <n v="0"/>
    <n v="0"/>
    <n v="0.55000000000000004"/>
    <n v="0"/>
    <n v="0"/>
    <n v="1028"/>
    <d v="1900-01-04T13:46:49"/>
  </r>
  <r>
    <x v="70"/>
    <m/>
    <m/>
    <x v="254"/>
    <x v="12"/>
    <n v="10"/>
    <m/>
    <m/>
    <n v="10"/>
    <n v="1"/>
    <n v="1"/>
    <n v="0.5"/>
    <n v="1"/>
    <n v="10"/>
    <n v="387"/>
    <d v="1900-01-02T23:50:25"/>
  </r>
  <r>
    <x v="71"/>
    <m/>
    <m/>
    <x v="255"/>
    <x v="12"/>
    <n v="12"/>
    <m/>
    <m/>
    <n v="11"/>
    <n v="0"/>
    <n v="0"/>
    <n v="0.55000000000000004"/>
    <n v="0"/>
    <n v="0"/>
    <n v="1150"/>
    <d v="1900-01-04T08:36:20"/>
  </r>
  <r>
    <x v="71"/>
    <m/>
    <m/>
    <x v="256"/>
    <x v="12"/>
    <n v="8"/>
    <m/>
    <m/>
    <n v="7"/>
    <n v="1"/>
    <n v="0"/>
    <n v="0.35"/>
    <n v="0"/>
    <n v="0"/>
    <n v="22"/>
    <d v="1900-01-04T09:12:20"/>
  </r>
  <r>
    <x v="71"/>
    <m/>
    <m/>
    <x v="257"/>
    <x v="12"/>
    <n v="22"/>
    <m/>
    <m/>
    <n v="15"/>
    <n v="2"/>
    <n v="0"/>
    <n v="0.75"/>
    <n v="0"/>
    <n v="0"/>
    <n v="438"/>
    <d v="1900-01-03T12:17:35"/>
  </r>
  <r>
    <x v="72"/>
    <m/>
    <m/>
    <x v="258"/>
    <x v="12"/>
    <n v="8"/>
    <m/>
    <m/>
    <n v="5"/>
    <n v="1"/>
    <n v="0"/>
    <n v="0.25"/>
    <n v="0"/>
    <n v="0"/>
    <n v="274"/>
    <d v="1900-01-04T04:42:52"/>
  </r>
  <r>
    <x v="72"/>
    <m/>
    <m/>
    <x v="259"/>
    <x v="12"/>
    <n v="11"/>
    <m/>
    <m/>
    <n v="7"/>
    <n v="6"/>
    <n v="0"/>
    <n v="0.35"/>
    <n v="0"/>
    <n v="0"/>
    <n v="542"/>
    <d v="1900-01-03T16:13:38"/>
  </r>
  <r>
    <x v="72"/>
    <m/>
    <m/>
    <x v="260"/>
    <x v="12"/>
    <n v="11"/>
    <m/>
    <m/>
    <n v="4"/>
    <n v="3"/>
    <n v="0"/>
    <n v="0.2"/>
    <n v="0"/>
    <n v="0"/>
    <n v="818"/>
    <d v="1900-01-04T12:02:01"/>
  </r>
  <r>
    <x v="72"/>
    <m/>
    <m/>
    <x v="261"/>
    <x v="12"/>
    <n v="17"/>
    <m/>
    <m/>
    <n v="12"/>
    <n v="4"/>
    <n v="0"/>
    <n v="0.6"/>
    <n v="0"/>
    <n v="0"/>
    <n v="382"/>
    <d v="1900-01-04T05:35:26"/>
  </r>
  <r>
    <x v="73"/>
    <m/>
    <m/>
    <x v="262"/>
    <x v="13"/>
    <n v="8"/>
    <m/>
    <m/>
    <n v="8"/>
    <n v="0"/>
    <n v="0"/>
    <n v="0.4"/>
    <n v="0"/>
    <n v="0"/>
    <n v="679"/>
    <d v="1900-01-02T21:19:39"/>
  </r>
  <r>
    <x v="73"/>
    <m/>
    <m/>
    <x v="263"/>
    <x v="13"/>
    <n v="0"/>
    <m/>
    <m/>
    <n v="1"/>
    <n v="0"/>
    <n v="0"/>
    <n v="0.05"/>
    <n v="0"/>
    <n v="0"/>
    <n v="3"/>
    <d v="1899-12-30T01:01:52"/>
  </r>
  <r>
    <x v="73"/>
    <m/>
    <m/>
    <x v="264"/>
    <x v="13"/>
    <n v="3"/>
    <m/>
    <m/>
    <n v="2"/>
    <n v="2"/>
    <n v="0"/>
    <n v="0.1"/>
    <n v="0"/>
    <n v="0"/>
    <n v="728"/>
    <d v="1899-12-30T00:00:00"/>
  </r>
  <r>
    <x v="73"/>
    <m/>
    <m/>
    <x v="265"/>
    <x v="13"/>
    <n v="0"/>
    <m/>
    <m/>
    <n v="0"/>
    <n v="0"/>
    <n v="0"/>
    <n v="0"/>
    <n v="0"/>
    <n v="0"/>
    <n v="60"/>
    <d v="1899-12-30T07:55:37"/>
  </r>
  <r>
    <x v="73"/>
    <m/>
    <m/>
    <x v="266"/>
    <x v="13"/>
    <n v="2"/>
    <m/>
    <m/>
    <n v="3"/>
    <n v="0"/>
    <n v="0"/>
    <n v="0.15"/>
    <n v="0"/>
    <n v="0"/>
    <n v="841"/>
    <d v="1900-01-01T11:09:42"/>
  </r>
  <r>
    <x v="73"/>
    <m/>
    <m/>
    <x v="267"/>
    <x v="13"/>
    <n v="9"/>
    <m/>
    <m/>
    <n v="8"/>
    <n v="1"/>
    <n v="0"/>
    <n v="0.4"/>
    <n v="0"/>
    <n v="0"/>
    <n v="893"/>
    <d v="1900-01-04T10:06:30"/>
  </r>
  <r>
    <x v="73"/>
    <m/>
    <m/>
    <x v="268"/>
    <x v="13"/>
    <n v="1"/>
    <m/>
    <m/>
    <n v="0"/>
    <n v="0"/>
    <n v="0"/>
    <n v="0"/>
    <n v="0"/>
    <n v="0"/>
    <n v="530"/>
    <d v="1900-01-03T07:44:37"/>
  </r>
  <r>
    <x v="73"/>
    <m/>
    <m/>
    <x v="269"/>
    <x v="13"/>
    <n v="2"/>
    <m/>
    <m/>
    <n v="2"/>
    <n v="0"/>
    <n v="0"/>
    <n v="0.1"/>
    <n v="0"/>
    <n v="0"/>
    <n v="960"/>
    <d v="1900-01-03T21:17:37"/>
  </r>
  <r>
    <x v="74"/>
    <m/>
    <m/>
    <x v="270"/>
    <x v="13"/>
    <n v="0"/>
    <m/>
    <m/>
    <n v="0"/>
    <n v="0"/>
    <n v="0"/>
    <n v="0"/>
    <n v="0"/>
    <n v="0"/>
    <n v="33"/>
    <d v="1900-01-01T20:40:42"/>
  </r>
  <r>
    <x v="74"/>
    <m/>
    <m/>
    <x v="271"/>
    <x v="13"/>
    <n v="20"/>
    <m/>
    <m/>
    <n v="20"/>
    <n v="0"/>
    <n v="1"/>
    <n v="1"/>
    <n v="1"/>
    <n v="20"/>
    <n v="331"/>
    <d v="1900-01-03T18:52:50"/>
  </r>
  <r>
    <x v="74"/>
    <m/>
    <m/>
    <x v="272"/>
    <x v="13"/>
    <n v="5"/>
    <m/>
    <m/>
    <n v="5"/>
    <n v="0"/>
    <n v="0"/>
    <n v="0.25"/>
    <n v="0"/>
    <n v="0"/>
    <n v="294"/>
    <d v="1900-01-04T03:58:41"/>
  </r>
  <r>
    <x v="74"/>
    <m/>
    <m/>
    <x v="273"/>
    <x v="13"/>
    <n v="2"/>
    <m/>
    <m/>
    <n v="2"/>
    <n v="0"/>
    <n v="0"/>
    <n v="0.1"/>
    <n v="0"/>
    <n v="0"/>
    <n v="343"/>
    <d v="1900-01-03T10:25:47"/>
  </r>
  <r>
    <x v="75"/>
    <m/>
    <m/>
    <x v="274"/>
    <x v="13"/>
    <n v="0"/>
    <m/>
    <m/>
    <n v="0"/>
    <n v="0"/>
    <n v="0"/>
    <n v="0"/>
    <n v="0"/>
    <n v="0"/>
    <n v="0"/>
    <d v="1899-12-30T00:40:46"/>
  </r>
  <r>
    <x v="75"/>
    <m/>
    <m/>
    <x v="275"/>
    <x v="13"/>
    <n v="9"/>
    <m/>
    <m/>
    <n v="8"/>
    <n v="0"/>
    <n v="0"/>
    <n v="0.4"/>
    <n v="0"/>
    <n v="0"/>
    <n v="331"/>
    <d v="1900-01-03T23:19:42"/>
  </r>
  <r>
    <x v="75"/>
    <m/>
    <m/>
    <x v="276"/>
    <x v="13"/>
    <n v="14"/>
    <m/>
    <m/>
    <n v="10"/>
    <n v="3"/>
    <n v="0"/>
    <n v="0.5"/>
    <n v="0"/>
    <n v="0"/>
    <n v="142"/>
    <d v="1900-01-02T16:37:19"/>
  </r>
  <r>
    <x v="76"/>
    <m/>
    <m/>
    <x v="277"/>
    <x v="13"/>
    <n v="14"/>
    <m/>
    <m/>
    <n v="11"/>
    <n v="2"/>
    <n v="0"/>
    <n v="0.55000000000000004"/>
    <n v="0"/>
    <n v="0"/>
    <n v="562"/>
    <d v="1900-01-04T07:04:36"/>
  </r>
  <r>
    <x v="76"/>
    <m/>
    <m/>
    <x v="278"/>
    <x v="13"/>
    <n v="22"/>
    <m/>
    <m/>
    <n v="22"/>
    <n v="3"/>
    <n v="1"/>
    <n v="1.1000000000000001"/>
    <n v="1"/>
    <n v="22"/>
    <n v="86"/>
    <d v="1900-01-02T21:29:14"/>
  </r>
  <r>
    <x v="76"/>
    <m/>
    <m/>
    <x v="279"/>
    <x v="13"/>
    <n v="18"/>
    <m/>
    <m/>
    <n v="14"/>
    <n v="5"/>
    <n v="2"/>
    <n v="0.7"/>
    <n v="2"/>
    <n v="7"/>
    <n v="563"/>
    <d v="1900-01-03T15:35:02"/>
  </r>
  <r>
    <x v="76"/>
    <m/>
    <m/>
    <x v="280"/>
    <x v="13"/>
    <n v="0"/>
    <m/>
    <m/>
    <n v="0"/>
    <n v="0"/>
    <n v="0"/>
    <n v="0"/>
    <n v="0"/>
    <n v="0"/>
    <n v="4"/>
    <d v="1900-01-03T18:49:28"/>
  </r>
  <r>
    <x v="76"/>
    <m/>
    <m/>
    <x v="281"/>
    <x v="13"/>
    <n v="25"/>
    <m/>
    <m/>
    <n v="21"/>
    <n v="7"/>
    <n v="1"/>
    <n v="1.05"/>
    <n v="1"/>
    <n v="21"/>
    <n v="172"/>
    <d v="1900-01-04T07:18:00"/>
  </r>
  <r>
    <x v="76"/>
    <m/>
    <m/>
    <x v="282"/>
    <x v="13"/>
    <n v="22"/>
    <m/>
    <m/>
    <n v="21"/>
    <n v="3"/>
    <n v="0"/>
    <n v="1.05"/>
    <n v="0"/>
    <n v="0"/>
    <n v="229"/>
    <d v="1900-01-04T01:54:30"/>
  </r>
  <r>
    <x v="76"/>
    <m/>
    <m/>
    <x v="283"/>
    <x v="13"/>
    <n v="31"/>
    <m/>
    <m/>
    <n v="23"/>
    <n v="8"/>
    <n v="0"/>
    <n v="1.1499999999999999"/>
    <n v="0"/>
    <n v="0"/>
    <n v="665"/>
    <d v="1900-01-04T10:48:09"/>
  </r>
  <r>
    <x v="76"/>
    <m/>
    <m/>
    <x v="284"/>
    <x v="13"/>
    <n v="20"/>
    <m/>
    <m/>
    <n v="19"/>
    <n v="2"/>
    <n v="0"/>
    <n v="0.95"/>
    <n v="0"/>
    <n v="0"/>
    <n v="453"/>
    <d v="1900-01-03T15:41:32"/>
  </r>
  <r>
    <x v="77"/>
    <m/>
    <m/>
    <x v="285"/>
    <x v="13"/>
    <n v="10"/>
    <m/>
    <m/>
    <n v="8"/>
    <n v="1"/>
    <n v="0"/>
    <n v="0.4"/>
    <n v="0"/>
    <n v="0"/>
    <n v="321"/>
    <d v="1900-01-02T13:24:14"/>
  </r>
  <r>
    <x v="78"/>
    <m/>
    <m/>
    <x v="286"/>
    <x v="13"/>
    <n v="26"/>
    <m/>
    <m/>
    <n v="22"/>
    <n v="6"/>
    <n v="1"/>
    <n v="1.1000000000000001"/>
    <n v="1"/>
    <n v="22"/>
    <n v="179"/>
    <d v="1900-01-03T22:34:55"/>
  </r>
  <r>
    <x v="78"/>
    <m/>
    <m/>
    <x v="287"/>
    <x v="13"/>
    <n v="0"/>
    <m/>
    <m/>
    <n v="0"/>
    <n v="0"/>
    <n v="0"/>
    <n v="0"/>
    <n v="0"/>
    <n v="0"/>
    <n v="0"/>
    <d v="1899-12-30T01:43:53"/>
  </r>
  <r>
    <x v="78"/>
    <m/>
    <m/>
    <x v="288"/>
    <x v="13"/>
    <n v="23"/>
    <m/>
    <m/>
    <n v="21"/>
    <n v="7"/>
    <n v="1"/>
    <n v="1.05"/>
    <n v="1"/>
    <n v="21"/>
    <n v="315"/>
    <d v="1900-01-03T18:39:10"/>
  </r>
  <r>
    <x v="79"/>
    <m/>
    <m/>
    <x v="289"/>
    <x v="13"/>
    <n v="4"/>
    <m/>
    <m/>
    <n v="4"/>
    <n v="0"/>
    <n v="0"/>
    <n v="0.2"/>
    <n v="0"/>
    <n v="0"/>
    <n v="20"/>
    <d v="1900-01-02T16:15:15"/>
  </r>
  <r>
    <x v="79"/>
    <m/>
    <m/>
    <x v="290"/>
    <x v="13"/>
    <n v="6"/>
    <m/>
    <m/>
    <n v="5"/>
    <n v="0"/>
    <n v="0"/>
    <n v="0.25"/>
    <n v="0"/>
    <n v="0"/>
    <n v="424"/>
    <d v="1900-01-03T11:42:43"/>
  </r>
  <r>
    <x v="79"/>
    <m/>
    <m/>
    <x v="291"/>
    <x v="13"/>
    <n v="4"/>
    <m/>
    <m/>
    <n v="3"/>
    <n v="0"/>
    <n v="0"/>
    <n v="0.15"/>
    <n v="0"/>
    <n v="0"/>
    <n v="745"/>
    <d v="1900-01-03T23:07:43"/>
  </r>
  <r>
    <x v="80"/>
    <m/>
    <m/>
    <x v="292"/>
    <x v="13"/>
    <n v="5"/>
    <m/>
    <m/>
    <n v="5"/>
    <n v="2"/>
    <n v="0"/>
    <n v="0.25"/>
    <n v="0"/>
    <n v="0"/>
    <n v="41"/>
    <d v="1900-01-03T01:56:17"/>
  </r>
  <r>
    <x v="81"/>
    <m/>
    <m/>
    <x v="293"/>
    <x v="13"/>
    <n v="11"/>
    <m/>
    <m/>
    <n v="9"/>
    <n v="5"/>
    <n v="0"/>
    <n v="0.45"/>
    <n v="0"/>
    <n v="0"/>
    <n v="1043"/>
    <d v="1900-01-04T22:27:41"/>
  </r>
  <r>
    <x v="81"/>
    <m/>
    <m/>
    <x v="294"/>
    <x v="13"/>
    <n v="3"/>
    <m/>
    <m/>
    <n v="0"/>
    <n v="0"/>
    <n v="0"/>
    <n v="0"/>
    <n v="0"/>
    <n v="0"/>
    <n v="22"/>
    <d v="1899-12-31T22:37:38"/>
  </r>
  <r>
    <x v="81"/>
    <m/>
    <m/>
    <x v="295"/>
    <x v="13"/>
    <n v="7"/>
    <m/>
    <m/>
    <n v="6"/>
    <n v="2"/>
    <n v="1"/>
    <n v="0.3"/>
    <n v="1"/>
    <n v="6"/>
    <n v="779"/>
    <d v="1900-01-04T02:00:02"/>
  </r>
  <r>
    <x v="81"/>
    <m/>
    <m/>
    <x v="296"/>
    <x v="13"/>
    <n v="1"/>
    <m/>
    <m/>
    <n v="1"/>
    <n v="0"/>
    <n v="0"/>
    <n v="0.05"/>
    <n v="0"/>
    <n v="0"/>
    <n v="323"/>
    <d v="1899-12-30T00:00:00"/>
  </r>
  <r>
    <x v="82"/>
    <m/>
    <m/>
    <x v="297"/>
    <x v="13"/>
    <n v="6"/>
    <m/>
    <m/>
    <n v="5"/>
    <n v="2"/>
    <n v="0"/>
    <n v="0.25"/>
    <n v="0"/>
    <n v="0"/>
    <n v="553"/>
    <d v="1900-01-03T21:13:03"/>
  </r>
  <r>
    <x v="82"/>
    <m/>
    <m/>
    <x v="298"/>
    <x v="13"/>
    <n v="0"/>
    <m/>
    <m/>
    <n v="0"/>
    <n v="0"/>
    <n v="0"/>
    <n v="0"/>
    <n v="0"/>
    <n v="0"/>
    <n v="0"/>
    <d v="1899-12-30T00:00:00"/>
  </r>
  <r>
    <x v="82"/>
    <m/>
    <m/>
    <x v="299"/>
    <x v="13"/>
    <n v="15"/>
    <m/>
    <m/>
    <n v="13"/>
    <n v="3"/>
    <n v="0"/>
    <n v="0.65"/>
    <n v="0"/>
    <n v="0"/>
    <n v="142"/>
    <d v="1900-01-04T05:57:05"/>
  </r>
  <r>
    <x v="82"/>
    <m/>
    <m/>
    <x v="300"/>
    <x v="13"/>
    <n v="16"/>
    <m/>
    <m/>
    <n v="12"/>
    <n v="6"/>
    <n v="0"/>
    <n v="0.6"/>
    <n v="0"/>
    <n v="0"/>
    <n v="422"/>
    <d v="1900-01-04T07:52:58"/>
  </r>
  <r>
    <x v="83"/>
    <m/>
    <m/>
    <x v="301"/>
    <x v="14"/>
    <n v="5"/>
    <m/>
    <m/>
    <n v="2"/>
    <n v="1"/>
    <n v="0"/>
    <n v="0.1"/>
    <n v="0"/>
    <n v="0"/>
    <n v="53"/>
    <d v="1900-01-02T20:37:33"/>
  </r>
  <r>
    <x v="83"/>
    <m/>
    <m/>
    <x v="302"/>
    <x v="14"/>
    <n v="16"/>
    <m/>
    <m/>
    <n v="16"/>
    <n v="1"/>
    <n v="0"/>
    <n v="0.8"/>
    <n v="0"/>
    <n v="0"/>
    <n v="170"/>
    <d v="1900-01-04T04:22:10"/>
  </r>
  <r>
    <x v="83"/>
    <m/>
    <m/>
    <x v="303"/>
    <x v="14"/>
    <n v="20"/>
    <m/>
    <m/>
    <n v="20"/>
    <n v="4"/>
    <n v="0"/>
    <n v="1"/>
    <n v="0"/>
    <n v="0"/>
    <n v="140"/>
    <d v="1900-01-04T01:45:14"/>
  </r>
  <r>
    <x v="84"/>
    <m/>
    <m/>
    <x v="304"/>
    <x v="14"/>
    <n v="11"/>
    <m/>
    <m/>
    <n v="7"/>
    <n v="1"/>
    <n v="0"/>
    <n v="0.35"/>
    <n v="0"/>
    <n v="0"/>
    <n v="482"/>
    <d v="1900-01-04T15:35:00"/>
  </r>
  <r>
    <x v="84"/>
    <m/>
    <m/>
    <x v="305"/>
    <x v="14"/>
    <n v="21"/>
    <m/>
    <m/>
    <n v="20"/>
    <n v="4"/>
    <n v="0"/>
    <n v="1"/>
    <n v="0"/>
    <n v="0"/>
    <n v="465"/>
    <d v="1900-01-03T11:08:58"/>
  </r>
  <r>
    <x v="84"/>
    <m/>
    <m/>
    <x v="306"/>
    <x v="14"/>
    <n v="1"/>
    <m/>
    <m/>
    <n v="0"/>
    <n v="0"/>
    <n v="0"/>
    <n v="0"/>
    <n v="0"/>
    <n v="0"/>
    <n v="7"/>
    <d v="1899-12-31T16:17:13"/>
  </r>
  <r>
    <x v="84"/>
    <m/>
    <m/>
    <x v="307"/>
    <x v="14"/>
    <n v="17"/>
    <m/>
    <m/>
    <n v="16"/>
    <n v="3"/>
    <n v="0"/>
    <n v="0.8"/>
    <n v="0"/>
    <n v="0"/>
    <n v="446"/>
    <d v="1900-01-03T20:23:59"/>
  </r>
  <r>
    <x v="84"/>
    <m/>
    <m/>
    <x v="308"/>
    <x v="14"/>
    <n v="20"/>
    <m/>
    <m/>
    <n v="18"/>
    <n v="1"/>
    <n v="0"/>
    <n v="0.9"/>
    <n v="0"/>
    <n v="0"/>
    <n v="206"/>
    <d v="1900-01-04T13:08:01"/>
  </r>
  <r>
    <x v="84"/>
    <m/>
    <m/>
    <x v="309"/>
    <x v="14"/>
    <n v="25"/>
    <m/>
    <m/>
    <n v="22"/>
    <n v="3"/>
    <n v="1"/>
    <n v="1.1000000000000001"/>
    <n v="1"/>
    <n v="22"/>
    <n v="248"/>
    <d v="1900-01-04T12:51:53"/>
  </r>
  <r>
    <x v="84"/>
    <m/>
    <m/>
    <x v="310"/>
    <x v="14"/>
    <n v="12"/>
    <m/>
    <m/>
    <n v="9"/>
    <n v="1"/>
    <n v="0"/>
    <n v="0.45"/>
    <n v="0"/>
    <n v="0"/>
    <n v="436"/>
    <d v="1900-01-04T15:19:20"/>
  </r>
  <r>
    <x v="85"/>
    <m/>
    <m/>
    <x v="311"/>
    <x v="14"/>
    <n v="18"/>
    <m/>
    <m/>
    <n v="14"/>
    <n v="0"/>
    <n v="0"/>
    <n v="0.7"/>
    <n v="0"/>
    <n v="0"/>
    <n v="279"/>
    <d v="1900-01-04T11:50:31"/>
  </r>
  <r>
    <x v="85"/>
    <m/>
    <m/>
    <x v="312"/>
    <x v="14"/>
    <n v="3"/>
    <m/>
    <m/>
    <n v="1"/>
    <n v="0"/>
    <n v="0"/>
    <n v="0.05"/>
    <n v="0"/>
    <n v="0"/>
    <n v="11"/>
    <d v="1900-01-03T22:56:25"/>
  </r>
  <r>
    <x v="85"/>
    <m/>
    <m/>
    <x v="313"/>
    <x v="14"/>
    <n v="17"/>
    <m/>
    <m/>
    <n v="13"/>
    <n v="3"/>
    <n v="0"/>
    <n v="0.65"/>
    <n v="0"/>
    <n v="0"/>
    <n v="489"/>
    <d v="1900-01-04T03:42:18"/>
  </r>
  <r>
    <x v="85"/>
    <m/>
    <m/>
    <x v="314"/>
    <x v="14"/>
    <n v="29"/>
    <m/>
    <m/>
    <n v="22"/>
    <n v="4"/>
    <n v="0"/>
    <n v="1.1000000000000001"/>
    <n v="0"/>
    <n v="0"/>
    <n v="507"/>
    <d v="1900-01-04T10:48:50"/>
  </r>
  <r>
    <x v="85"/>
    <m/>
    <m/>
    <x v="315"/>
    <x v="14"/>
    <n v="21"/>
    <m/>
    <m/>
    <n v="16"/>
    <n v="5"/>
    <n v="0"/>
    <n v="0.8"/>
    <n v="0"/>
    <n v="0"/>
    <n v="352"/>
    <d v="1900-01-04T08:10:18"/>
  </r>
  <r>
    <x v="85"/>
    <m/>
    <m/>
    <x v="316"/>
    <x v="14"/>
    <n v="0"/>
    <m/>
    <m/>
    <n v="0"/>
    <n v="0"/>
    <n v="0"/>
    <n v="0"/>
    <n v="0"/>
    <n v="0"/>
    <n v="1"/>
    <d v="1899-12-30T13:01:22"/>
  </r>
  <r>
    <x v="86"/>
    <m/>
    <m/>
    <x v="317"/>
    <x v="14"/>
    <n v="8"/>
    <m/>
    <m/>
    <n v="5"/>
    <n v="4"/>
    <n v="1"/>
    <n v="0.25"/>
    <n v="1"/>
    <n v="5"/>
    <n v="67"/>
    <d v="1900-01-02T21:53:07"/>
  </r>
  <r>
    <x v="86"/>
    <m/>
    <m/>
    <x v="318"/>
    <x v="14"/>
    <n v="0"/>
    <m/>
    <m/>
    <n v="0"/>
    <n v="0"/>
    <n v="0"/>
    <n v="0"/>
    <n v="0"/>
    <n v="0"/>
    <n v="0"/>
    <d v="1899-12-30T00:00:00"/>
  </r>
  <r>
    <x v="86"/>
    <m/>
    <m/>
    <x v="319"/>
    <x v="14"/>
    <n v="27"/>
    <m/>
    <m/>
    <n v="23"/>
    <n v="6"/>
    <n v="0"/>
    <n v="1.1499999999999999"/>
    <n v="0"/>
    <n v="0"/>
    <n v="506"/>
    <d v="1900-01-04T15:48:34"/>
  </r>
  <r>
    <x v="86"/>
    <m/>
    <m/>
    <x v="320"/>
    <x v="14"/>
    <n v="22"/>
    <m/>
    <m/>
    <n v="15"/>
    <n v="5"/>
    <n v="0"/>
    <n v="0.75"/>
    <n v="0"/>
    <n v="0"/>
    <n v="799"/>
    <d v="1900-01-04T01:47:28"/>
  </r>
  <r>
    <x v="86"/>
    <m/>
    <m/>
    <x v="321"/>
    <x v="14"/>
    <n v="11"/>
    <m/>
    <m/>
    <n v="8"/>
    <n v="2"/>
    <n v="0"/>
    <n v="0.4"/>
    <n v="0"/>
    <n v="0"/>
    <n v="466"/>
    <d v="1900-01-03T04:54:05"/>
  </r>
  <r>
    <x v="87"/>
    <m/>
    <m/>
    <x v="322"/>
    <x v="14"/>
    <n v="18"/>
    <m/>
    <m/>
    <n v="12"/>
    <n v="3"/>
    <n v="0"/>
    <n v="0.6"/>
    <n v="0"/>
    <n v="0"/>
    <n v="189"/>
    <d v="1900-01-04T03:04:02"/>
  </r>
  <r>
    <x v="87"/>
    <m/>
    <m/>
    <x v="323"/>
    <x v="14"/>
    <n v="4"/>
    <m/>
    <m/>
    <n v="2"/>
    <n v="0"/>
    <n v="0"/>
    <n v="0.1"/>
    <n v="0"/>
    <n v="0"/>
    <n v="146"/>
    <d v="1900-01-04T01:52:46"/>
  </r>
  <r>
    <x v="88"/>
    <m/>
    <m/>
    <x v="324"/>
    <x v="14"/>
    <n v="5"/>
    <m/>
    <m/>
    <n v="2"/>
    <n v="1"/>
    <n v="0"/>
    <n v="0.1"/>
    <n v="0"/>
    <n v="0"/>
    <n v="198"/>
    <d v="1899-12-31T11:28:31"/>
  </r>
  <r>
    <x v="88"/>
    <m/>
    <m/>
    <x v="325"/>
    <x v="14"/>
    <n v="24"/>
    <m/>
    <m/>
    <n v="18"/>
    <n v="5"/>
    <n v="1"/>
    <m/>
    <m/>
    <m/>
    <n v="257"/>
    <n v="5.1904629629629637"/>
  </r>
  <r>
    <x v="88"/>
    <m/>
    <m/>
    <x v="326"/>
    <x v="14"/>
    <n v="17"/>
    <m/>
    <m/>
    <n v="13"/>
    <n v="3"/>
    <n v="0"/>
    <m/>
    <m/>
    <m/>
    <n v="280"/>
    <n v="4.4254745370370374"/>
  </r>
  <r>
    <x v="88"/>
    <m/>
    <m/>
    <x v="327"/>
    <x v="14"/>
    <n v="0"/>
    <m/>
    <m/>
    <n v="0"/>
    <n v="0"/>
    <n v="0"/>
    <m/>
    <m/>
    <m/>
    <n v="0"/>
    <n v="1.2179398148148148"/>
  </r>
  <r>
    <x v="88"/>
    <m/>
    <m/>
    <x v="328"/>
    <x v="14"/>
    <n v="15"/>
    <m/>
    <m/>
    <n v="14"/>
    <n v="2"/>
    <n v="1"/>
    <m/>
    <m/>
    <m/>
    <n v="185"/>
    <n v="4.8064930555555572"/>
  </r>
  <r>
    <x v="88"/>
    <m/>
    <m/>
    <x v="329"/>
    <x v="14"/>
    <n v="18"/>
    <m/>
    <m/>
    <n v="14"/>
    <n v="0"/>
    <n v="0"/>
    <m/>
    <m/>
    <m/>
    <n v="295"/>
    <n v="5.3165972222222218"/>
  </r>
  <r>
    <x v="88"/>
    <m/>
    <m/>
    <x v="330"/>
    <x v="14"/>
    <n v="13"/>
    <m/>
    <m/>
    <n v="12"/>
    <n v="1"/>
    <n v="0"/>
    <m/>
    <m/>
    <m/>
    <n v="91"/>
    <n v="3.1888078703703702"/>
  </r>
  <r>
    <x v="89"/>
    <m/>
    <m/>
    <x v="331"/>
    <x v="14"/>
    <n v="14"/>
    <m/>
    <m/>
    <n v="12"/>
    <n v="1"/>
    <n v="0"/>
    <m/>
    <m/>
    <m/>
    <n v="75"/>
    <n v="4.0492592592592587"/>
  </r>
  <r>
    <x v="89"/>
    <m/>
    <m/>
    <x v="332"/>
    <x v="14"/>
    <n v="22"/>
    <m/>
    <m/>
    <n v="16"/>
    <n v="6"/>
    <n v="1"/>
    <m/>
    <m/>
    <m/>
    <n v="264"/>
    <n v="5.2711689814814822"/>
  </r>
  <r>
    <x v="89"/>
    <m/>
    <m/>
    <x v="333"/>
    <x v="14"/>
    <n v="19"/>
    <m/>
    <m/>
    <n v="17"/>
    <n v="4"/>
    <n v="1"/>
    <m/>
    <m/>
    <m/>
    <n v="203"/>
    <n v="5.2927199074074069"/>
  </r>
  <r>
    <x v="89"/>
    <m/>
    <m/>
    <x v="334"/>
    <x v="14"/>
    <n v="20"/>
    <m/>
    <m/>
    <n v="19"/>
    <n v="5"/>
    <n v="0"/>
    <m/>
    <m/>
    <m/>
    <n v="196"/>
    <n v="4.672037037037037"/>
  </r>
  <r>
    <x v="89"/>
    <m/>
    <m/>
    <x v="335"/>
    <x v="14"/>
    <n v="24"/>
    <m/>
    <m/>
    <n v="19"/>
    <n v="6"/>
    <n v="1"/>
    <m/>
    <m/>
    <m/>
    <n v="191"/>
    <n v="4.5967129629629628"/>
  </r>
  <r>
    <x v="89"/>
    <m/>
    <m/>
    <x v="336"/>
    <x v="14"/>
    <n v="0"/>
    <m/>
    <m/>
    <n v="0"/>
    <n v="0"/>
    <n v="0"/>
    <m/>
    <m/>
    <m/>
    <n v="6"/>
    <n v="4.381956018518518"/>
  </r>
  <r>
    <x v="89"/>
    <m/>
    <m/>
    <x v="337"/>
    <x v="14"/>
    <n v="12"/>
    <m/>
    <m/>
    <n v="9"/>
    <n v="1"/>
    <n v="0"/>
    <m/>
    <m/>
    <m/>
    <n v="349"/>
    <n v="5.4867476851851844"/>
  </r>
  <r>
    <x v="89"/>
    <m/>
    <m/>
    <x v="338"/>
    <x v="14"/>
    <n v="15"/>
    <m/>
    <m/>
    <n v="13"/>
    <n v="2"/>
    <n v="1"/>
    <m/>
    <m/>
    <m/>
    <n v="127"/>
    <n v="5.0253009259259258"/>
  </r>
  <r>
    <x v="89"/>
    <m/>
    <m/>
    <x v="339"/>
    <x v="14"/>
    <n v="15"/>
    <m/>
    <m/>
    <n v="12"/>
    <n v="4"/>
    <n v="0"/>
    <m/>
    <m/>
    <m/>
    <n v="167"/>
    <n v="5.1989930555555546"/>
  </r>
  <r>
    <x v="90"/>
    <m/>
    <m/>
    <x v="340"/>
    <x v="15"/>
    <n v="15"/>
    <m/>
    <m/>
    <n v="4"/>
    <n v="1"/>
    <n v="0"/>
    <m/>
    <m/>
    <m/>
    <n v="195"/>
    <n v="4.7363310185185199"/>
  </r>
  <r>
    <x v="91"/>
    <m/>
    <m/>
    <x v="341"/>
    <x v="15"/>
    <n v="11"/>
    <m/>
    <m/>
    <n v="8"/>
    <n v="1"/>
    <n v="1"/>
    <m/>
    <m/>
    <m/>
    <n v="307"/>
    <n v="4.8761805555555551"/>
  </r>
  <r>
    <x v="91"/>
    <m/>
    <m/>
    <x v="342"/>
    <x v="15"/>
    <n v="12"/>
    <m/>
    <m/>
    <n v="4"/>
    <n v="0"/>
    <n v="1"/>
    <m/>
    <m/>
    <m/>
    <n v="212"/>
    <n v="4.4596990740740745"/>
  </r>
  <r>
    <x v="91"/>
    <m/>
    <m/>
    <x v="343"/>
    <x v="15"/>
    <n v="7"/>
    <m/>
    <m/>
    <n v="6"/>
    <n v="0"/>
    <n v="0"/>
    <m/>
    <m/>
    <m/>
    <n v="437"/>
    <n v="4.8489351851851854"/>
  </r>
  <r>
    <x v="92"/>
    <m/>
    <m/>
    <x v="344"/>
    <x v="15"/>
    <n v="10"/>
    <m/>
    <m/>
    <n v="4"/>
    <n v="2"/>
    <n v="0"/>
    <m/>
    <m/>
    <m/>
    <n v="162"/>
    <n v="4.6249189814814819"/>
  </r>
  <r>
    <x v="92"/>
    <m/>
    <m/>
    <x v="345"/>
    <x v="15"/>
    <n v="13"/>
    <m/>
    <m/>
    <n v="2"/>
    <n v="0"/>
    <n v="0"/>
    <m/>
    <m/>
    <m/>
    <n v="297"/>
    <n v="5.3305439814814823"/>
  </r>
  <r>
    <x v="92"/>
    <m/>
    <m/>
    <x v="346"/>
    <x v="15"/>
    <n v="1"/>
    <m/>
    <m/>
    <n v="1"/>
    <n v="0"/>
    <n v="1"/>
    <m/>
    <m/>
    <m/>
    <n v="17"/>
    <n v="4.7862615740740742"/>
  </r>
  <r>
    <x v="92"/>
    <m/>
    <m/>
    <x v="347"/>
    <x v="15"/>
    <n v="5"/>
    <m/>
    <m/>
    <n v="1"/>
    <n v="0"/>
    <n v="0"/>
    <m/>
    <m/>
    <m/>
    <n v="164"/>
    <n v="4.3506365740740733"/>
  </r>
  <r>
    <x v="93"/>
    <m/>
    <m/>
    <x v="348"/>
    <x v="15"/>
    <n v="12"/>
    <m/>
    <m/>
    <n v="3"/>
    <n v="0"/>
    <n v="0"/>
    <m/>
    <m/>
    <m/>
    <n v="252"/>
    <n v="4.3542013888888889"/>
  </r>
  <r>
    <x v="93"/>
    <m/>
    <m/>
    <x v="349"/>
    <x v="15"/>
    <n v="9"/>
    <m/>
    <m/>
    <n v="2"/>
    <n v="0"/>
    <n v="0"/>
    <m/>
    <m/>
    <m/>
    <n v="212"/>
    <n v="4.705405092592593"/>
  </r>
  <r>
    <x v="94"/>
    <m/>
    <m/>
    <x v="350"/>
    <x v="15"/>
    <n v="9"/>
    <m/>
    <m/>
    <n v="5"/>
    <n v="0"/>
    <n v="0"/>
    <m/>
    <m/>
    <m/>
    <n v="81"/>
    <n v="3.8194444444444451"/>
  </r>
  <r>
    <x v="94"/>
    <m/>
    <m/>
    <x v="351"/>
    <x v="15"/>
    <n v="8"/>
    <m/>
    <m/>
    <n v="3"/>
    <n v="1"/>
    <n v="0"/>
    <m/>
    <m/>
    <m/>
    <n v="345"/>
    <n v="4.97224537037037"/>
  </r>
  <r>
    <x v="95"/>
    <m/>
    <m/>
    <x v="352"/>
    <x v="15"/>
    <n v="0"/>
    <m/>
    <m/>
    <n v="0"/>
    <n v="0"/>
    <n v="0"/>
    <m/>
    <m/>
    <m/>
    <n v="0"/>
    <n v="0.28084490740740742"/>
  </r>
  <r>
    <x v="95"/>
    <m/>
    <m/>
    <x v="353"/>
    <x v="15"/>
    <n v="20"/>
    <m/>
    <m/>
    <n v="5"/>
    <n v="0"/>
    <n v="0"/>
    <m/>
    <m/>
    <m/>
    <n v="202"/>
    <n v="5.2708912037037035"/>
  </r>
  <r>
    <x v="95"/>
    <m/>
    <m/>
    <x v="354"/>
    <x v="15"/>
    <n v="18"/>
    <m/>
    <m/>
    <n v="3"/>
    <n v="0"/>
    <n v="0"/>
    <m/>
    <m/>
    <m/>
    <n v="664"/>
    <n v="4.5280671296296289"/>
  </r>
  <r>
    <x v="95"/>
    <m/>
    <m/>
    <x v="355"/>
    <x v="15"/>
    <n v="8"/>
    <m/>
    <m/>
    <n v="0"/>
    <n v="0"/>
    <n v="2"/>
    <m/>
    <m/>
    <m/>
    <n v="47"/>
    <n v="4.2522685185185178"/>
  </r>
  <r>
    <x v="96"/>
    <m/>
    <m/>
    <x v="356"/>
    <x v="15"/>
    <n v="21"/>
    <m/>
    <m/>
    <n v="8"/>
    <n v="0"/>
    <n v="1"/>
    <m/>
    <m/>
    <m/>
    <n v="322"/>
    <n v="5.4696064814814811"/>
  </r>
  <r>
    <x v="96"/>
    <m/>
    <m/>
    <x v="357"/>
    <x v="15"/>
    <n v="22"/>
    <m/>
    <m/>
    <n v="5"/>
    <n v="0"/>
    <n v="0"/>
    <m/>
    <m/>
    <m/>
    <n v="483"/>
    <n v="4.7966319444444441"/>
  </r>
  <r>
    <x v="96"/>
    <m/>
    <m/>
    <x v="358"/>
    <x v="15"/>
    <n v="3"/>
    <m/>
    <m/>
    <n v="0"/>
    <n v="0"/>
    <n v="0"/>
    <m/>
    <m/>
    <m/>
    <n v="20"/>
    <n v="3.4101041666666667"/>
  </r>
  <r>
    <x v="96"/>
    <m/>
    <m/>
    <x v="359"/>
    <x v="15"/>
    <n v="12"/>
    <m/>
    <m/>
    <n v="2"/>
    <n v="0"/>
    <n v="0"/>
    <m/>
    <m/>
    <m/>
    <n v="362"/>
    <n v="4.9747569444444437"/>
  </r>
  <r>
    <x v="97"/>
    <m/>
    <m/>
    <x v="360"/>
    <x v="16"/>
    <n v="29"/>
    <m/>
    <m/>
    <n v="23"/>
    <n v="5"/>
    <n v="1"/>
    <m/>
    <m/>
    <m/>
    <n v="188"/>
    <n v="5.1888773148148148"/>
  </r>
  <r>
    <x v="97"/>
    <m/>
    <m/>
    <x v="361"/>
    <x v="16"/>
    <n v="15"/>
    <m/>
    <m/>
    <n v="12"/>
    <n v="0"/>
    <n v="0"/>
    <m/>
    <m/>
    <m/>
    <n v="566"/>
    <n v="4.7548842592592591"/>
  </r>
  <r>
    <x v="97"/>
    <m/>
    <m/>
    <x v="362"/>
    <x v="16"/>
    <n v="14"/>
    <m/>
    <m/>
    <n v="10"/>
    <n v="2"/>
    <n v="0"/>
    <m/>
    <m/>
    <m/>
    <n v="336"/>
    <n v="4.1693171296296292"/>
  </r>
  <r>
    <x v="97"/>
    <m/>
    <m/>
    <x v="363"/>
    <x v="16"/>
    <n v="22"/>
    <m/>
    <m/>
    <n v="17"/>
    <n v="2"/>
    <n v="1"/>
    <m/>
    <m/>
    <m/>
    <n v="391"/>
    <n v="4.7253240740740736"/>
  </r>
  <r>
    <x v="97"/>
    <m/>
    <m/>
    <x v="364"/>
    <x v="16"/>
    <n v="15"/>
    <m/>
    <m/>
    <n v="11"/>
    <n v="1"/>
    <n v="0"/>
    <m/>
    <m/>
    <m/>
    <n v="344"/>
    <n v="4.2288078703703702"/>
  </r>
  <r>
    <x v="97"/>
    <m/>
    <m/>
    <x v="365"/>
    <x v="16"/>
    <n v="19"/>
    <m/>
    <m/>
    <n v="11"/>
    <n v="4"/>
    <n v="0"/>
    <m/>
    <m/>
    <m/>
    <n v="384"/>
    <n v="4.7655787037037038"/>
  </r>
  <r>
    <x v="82"/>
    <m/>
    <m/>
    <x v="366"/>
    <x v="13"/>
    <n v="30"/>
    <m/>
    <m/>
    <n v="28"/>
    <n v="8"/>
    <n v="0"/>
    <m/>
    <m/>
    <m/>
    <n v="338"/>
    <n v="4.84981481481481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67">
  <r>
    <s v="Chandan Burnwal"/>
    <x v="0"/>
    <s v="AD-Chandan Burnwal"/>
    <n v="12"/>
    <n v="12"/>
    <n v="3"/>
    <n v="3"/>
    <m/>
    <n v="0.1601123595505618"/>
    <n v="4"/>
    <n v="17"/>
    <n v="178"/>
    <d v="1900-01-02T12:49:58"/>
    <n v="1"/>
    <m/>
    <m/>
    <m/>
    <m/>
    <x v="0"/>
    <x v="0"/>
    <n v="0"/>
  </r>
  <r>
    <s v="Nirbhey Singh"/>
    <x v="0"/>
    <s v="AD-Chandan Burnwal"/>
    <n v="26"/>
    <n v="26"/>
    <n v="2"/>
    <n v="0"/>
    <m/>
    <n v="0"/>
    <n v="0"/>
    <n v="198"/>
    <n v="174"/>
    <d v="1900-01-03T15:34:40"/>
    <n v="1"/>
    <m/>
    <m/>
    <m/>
    <m/>
    <x v="1"/>
    <x v="0"/>
    <n v="1"/>
  </r>
  <r>
    <s v="Shashi Gautam"/>
    <x v="0"/>
    <s v="AD-Chandan Burnwal"/>
    <n v="37"/>
    <n v="37"/>
    <n v="2"/>
    <n v="3"/>
    <m/>
    <n v="0.16569767441860467"/>
    <n v="12.333333333333334"/>
    <n v="682"/>
    <n v="172"/>
    <d v="1900-01-04T14:19:40"/>
    <n v="1"/>
    <m/>
    <m/>
    <m/>
    <m/>
    <x v="2"/>
    <x v="0"/>
    <n v="0"/>
  </r>
  <r>
    <s v="Sanchit Nimje"/>
    <x v="0"/>
    <s v="AD-Chandan Burnwal"/>
    <n v="22"/>
    <n v="22"/>
    <n v="1"/>
    <n v="1"/>
    <m/>
    <n v="6.0509554140127389E-2"/>
    <n v="22"/>
    <n v="407"/>
    <n v="157"/>
    <d v="1900-01-03T02:48:07"/>
    <n v="1"/>
    <m/>
    <m/>
    <m/>
    <m/>
    <x v="0"/>
    <x v="0"/>
    <n v="0"/>
  </r>
  <r>
    <s v="Ankit Singh Chauhan"/>
    <x v="0"/>
    <s v="AD-Chandan Burnwal"/>
    <n v="20"/>
    <n v="20"/>
    <n v="2"/>
    <n v="2"/>
    <m/>
    <n v="0.125"/>
    <n v="10"/>
    <n v="414"/>
    <n v="152"/>
    <d v="1900-01-03T23:13:54"/>
    <n v="1"/>
    <m/>
    <m/>
    <m/>
    <m/>
    <x v="2"/>
    <x v="1"/>
    <n v="1"/>
  </r>
  <r>
    <s v="Jyoti Chauhan"/>
    <x v="1"/>
    <s v="AT-Anuj Agrawal"/>
    <n v="10"/>
    <n v="7"/>
    <n v="1"/>
    <n v="0"/>
    <m/>
    <n v="0"/>
    <n v="0"/>
    <n v="536"/>
    <n v="165"/>
    <d v="1900-01-02T18:48:31"/>
    <n v="1"/>
    <m/>
    <m/>
    <m/>
    <m/>
    <x v="1"/>
    <x v="2"/>
    <n v="0"/>
  </r>
  <r>
    <s v="Dheeraj Kumar Shukla"/>
    <x v="1"/>
    <s v="AT-Anuj Agrawal"/>
    <n v="13"/>
    <n v="6"/>
    <n v="1"/>
    <n v="0"/>
    <m/>
    <n v="0"/>
    <n v="0"/>
    <n v="496"/>
    <n v="160"/>
    <d v="1900-01-03T08:18:02"/>
    <n v="1"/>
    <m/>
    <m/>
    <m/>
    <m/>
    <x v="1"/>
    <x v="2"/>
    <n v="0"/>
  </r>
  <r>
    <s v="Gursahib Singh"/>
    <x v="1"/>
    <s v="AT-Anuj Agrawal"/>
    <n v="18"/>
    <n v="14"/>
    <n v="4"/>
    <n v="0"/>
    <m/>
    <n v="0"/>
    <n v="0"/>
    <n v="156"/>
    <n v="184"/>
    <d v="1900-01-04T04:59:03"/>
    <n v="1"/>
    <m/>
    <m/>
    <m/>
    <m/>
    <x v="0"/>
    <x v="0"/>
    <n v="0"/>
  </r>
  <r>
    <s v="Hemanshu Chauhan"/>
    <x v="1"/>
    <s v="AT-Anuj Agrawal"/>
    <n v="13"/>
    <n v="6"/>
    <n v="1"/>
    <n v="0"/>
    <m/>
    <n v="0"/>
    <n v="0"/>
    <n v="358"/>
    <n v="170"/>
    <d v="1900-01-04T09:42:37"/>
    <n v="1"/>
    <m/>
    <m/>
    <m/>
    <m/>
    <x v="1"/>
    <x v="0"/>
    <n v="0"/>
  </r>
  <r>
    <s v="Mohammad Javed Hussain"/>
    <x v="1"/>
    <s v="AT-Anuj Agrawal"/>
    <n v="15"/>
    <n v="11"/>
    <n v="0"/>
    <n v="0"/>
    <m/>
    <n v="0"/>
    <n v="0"/>
    <n v="370"/>
    <n v="158"/>
    <d v="1900-01-02T11:06:39"/>
    <n v="1"/>
    <m/>
    <m/>
    <m/>
    <m/>
    <x v="1"/>
    <x v="2"/>
    <n v="0"/>
  </r>
  <r>
    <s v="Shyam Ram"/>
    <x v="1"/>
    <s v="AT-Anuj Agrawal"/>
    <n v="25"/>
    <n v="17"/>
    <n v="7"/>
    <n v="1"/>
    <m/>
    <n v="5.9375000000000004E-2"/>
    <n v="17"/>
    <n v="136"/>
    <n v="160"/>
    <d v="1900-01-04T04:24:49"/>
    <n v="1"/>
    <m/>
    <m/>
    <m/>
    <m/>
    <x v="1"/>
    <x v="0"/>
    <n v="0"/>
  </r>
  <r>
    <s v="Nidhi Singh"/>
    <x v="1"/>
    <s v="AT-Prabhat Kumar"/>
    <n v="12"/>
    <n v="5"/>
    <n v="1"/>
    <n v="0"/>
    <m/>
    <n v="0"/>
    <n v="0"/>
    <n v="494"/>
    <n v="166"/>
    <d v="1900-01-04T03:20:07"/>
    <n v="1"/>
    <m/>
    <m/>
    <m/>
    <m/>
    <x v="0"/>
    <x v="2"/>
    <n v="0"/>
  </r>
  <r>
    <s v="Prabhat Kumar Singh"/>
    <x v="1"/>
    <s v="AT-Prabhat Kumar"/>
    <n v="1"/>
    <n v="2"/>
    <n v="0"/>
    <n v="2"/>
    <m/>
    <n v="0.11728395061728394"/>
    <n v="1"/>
    <n v="36"/>
    <n v="162"/>
    <d v="1899-12-30T22:32:36"/>
    <n v="1"/>
    <m/>
    <m/>
    <m/>
    <m/>
    <x v="1"/>
    <x v="0"/>
    <n v="0"/>
  </r>
  <r>
    <s v="Vibhav Kumar"/>
    <x v="1"/>
    <s v="AT-Prabhat Kumar"/>
    <n v="12"/>
    <n v="6"/>
    <n v="0"/>
    <n v="0"/>
    <m/>
    <n v="0"/>
    <n v="0"/>
    <n v="603"/>
    <n v="160"/>
    <d v="1900-01-04T04:06:47"/>
    <n v="1"/>
    <m/>
    <m/>
    <m/>
    <m/>
    <x v="1"/>
    <x v="3"/>
    <n v="1"/>
  </r>
  <r>
    <s v="Deepak Pandey"/>
    <x v="1"/>
    <s v="AT-Pragati Malhotra"/>
    <n v="18"/>
    <n v="10"/>
    <n v="0"/>
    <n v="0"/>
    <m/>
    <n v="0"/>
    <n v="0"/>
    <n v="398"/>
    <n v="153"/>
    <d v="1900-01-03T17:44:16"/>
    <n v="1"/>
    <m/>
    <m/>
    <m/>
    <m/>
    <x v="1"/>
    <x v="2"/>
    <n v="0"/>
  </r>
  <r>
    <s v="Manya Aasthana"/>
    <x v="1"/>
    <s v="AT-Pragati Malhotra"/>
    <n v="14"/>
    <n v="9"/>
    <n v="0"/>
    <n v="1"/>
    <m/>
    <n v="6.0126582278481014E-2"/>
    <n v="9"/>
    <n v="555"/>
    <n v="158"/>
    <d v="1900-01-03T06:47:44"/>
    <n v="1"/>
    <m/>
    <m/>
    <m/>
    <m/>
    <x v="1"/>
    <x v="0"/>
    <n v="0"/>
  </r>
  <r>
    <s v="Varun Yadav"/>
    <x v="1"/>
    <s v="AT-Pragati Malhotra"/>
    <n v="13"/>
    <n v="11"/>
    <n v="0"/>
    <n v="0"/>
    <m/>
    <n v="0"/>
    <n v="0"/>
    <n v="375"/>
    <n v="165"/>
    <d v="1900-01-03T21:38:41"/>
    <n v="1"/>
    <m/>
    <m/>
    <m/>
    <m/>
    <x v="0"/>
    <x v="0"/>
    <n v="1"/>
  </r>
  <r>
    <s v="Harsh Vijay Singh Rathor"/>
    <x v="2"/>
    <s v="AS-DC-Harsh Rathore"/>
    <n v="0"/>
    <n v="0"/>
    <n v="0"/>
    <n v="0"/>
    <m/>
    <n v="0"/>
    <n v="0"/>
    <n v="0"/>
    <n v="141"/>
    <d v="1899-12-30T00:09:14"/>
    <n v="1"/>
    <m/>
    <m/>
    <m/>
    <m/>
    <x v="1"/>
    <x v="0"/>
    <n v="0"/>
  </r>
  <r>
    <s v="Nishant Tyagi"/>
    <x v="2"/>
    <s v="AS-DC-Harsh Rathore"/>
    <n v="9"/>
    <n v="6"/>
    <n v="0"/>
    <n v="1"/>
    <m/>
    <n v="5.6886227544910184E-2"/>
    <n v="6"/>
    <n v="198"/>
    <n v="167"/>
    <d v="1900-01-03T08:03:55"/>
    <n v="1"/>
    <m/>
    <m/>
    <m/>
    <m/>
    <x v="1"/>
    <x v="0"/>
    <n v="0"/>
  </r>
  <r>
    <s v="Sandesh Mounesh Achari"/>
    <x v="2"/>
    <s v="AS-DC-Harsh Rathore"/>
    <n v="3"/>
    <n v="3"/>
    <n v="0"/>
    <n v="0"/>
    <m/>
    <n v="0"/>
    <n v="0"/>
    <n v="74"/>
    <n v="181"/>
    <d v="1900-01-02T14:42:26"/>
    <n v="1"/>
    <m/>
    <m/>
    <m/>
    <m/>
    <x v="1"/>
    <x v="0"/>
    <n v="1"/>
  </r>
  <r>
    <s v="Shubham Raturi"/>
    <x v="2"/>
    <s v="AS-DC-Harsh Rathore"/>
    <n v="10"/>
    <n v="3"/>
    <n v="1"/>
    <n v="0"/>
    <m/>
    <n v="0"/>
    <n v="0"/>
    <n v="305"/>
    <n v="164"/>
    <d v="1900-01-03T12:01:06"/>
    <n v="1"/>
    <m/>
    <m/>
    <m/>
    <m/>
    <x v="1"/>
    <x v="0"/>
    <n v="1"/>
  </r>
  <r>
    <s v="Anurag Pratap Pal"/>
    <x v="2"/>
    <s v="AS-DC-Harsh Rathore"/>
    <n v="7"/>
    <n v="5"/>
    <n v="0"/>
    <n v="0"/>
    <m/>
    <n v="0"/>
    <n v="0"/>
    <n v="165"/>
    <n v="163"/>
    <d v="1900-01-02T23:12:37"/>
    <n v="1"/>
    <m/>
    <m/>
    <m/>
    <m/>
    <x v="1"/>
    <x v="0"/>
    <n v="0"/>
  </r>
  <r>
    <s v="Heer Rajesh Mendiratta"/>
    <x v="2"/>
    <s v="AS-DC-Harsh Rathore"/>
    <n v="9"/>
    <n v="6"/>
    <n v="0"/>
    <n v="0"/>
    <m/>
    <n v="0"/>
    <n v="0"/>
    <n v="489"/>
    <n v="154"/>
    <d v="1900-01-03T09:34:20"/>
    <n v="1"/>
    <m/>
    <m/>
    <m/>
    <m/>
    <x v="1"/>
    <x v="0"/>
    <n v="0"/>
  </r>
  <r>
    <s v="Tanu Verma"/>
    <x v="2"/>
    <s v="AS-DC-Harsh Rathore"/>
    <n v="12"/>
    <n v="8"/>
    <n v="1"/>
    <n v="0"/>
    <m/>
    <n v="0"/>
    <n v="0"/>
    <n v="867"/>
    <n v="169"/>
    <d v="1900-01-03T22:16:19"/>
    <n v="1"/>
    <m/>
    <m/>
    <m/>
    <m/>
    <x v="1"/>
    <x v="0"/>
    <n v="2"/>
  </r>
  <r>
    <s v="Abdul Kareem"/>
    <x v="2"/>
    <s v="AS-DC-Muneeb Rehman"/>
    <n v="6"/>
    <n v="1"/>
    <n v="0"/>
    <n v="0"/>
    <m/>
    <n v="0"/>
    <n v="0"/>
    <n v="119"/>
    <n v="163"/>
    <d v="1900-01-01T20:47:19"/>
    <n v="1"/>
    <m/>
    <m/>
    <m/>
    <m/>
    <x v="1"/>
    <x v="0"/>
    <n v="0"/>
  </r>
  <r>
    <s v="Abhishek Kumar Tiwari"/>
    <x v="2"/>
    <s v="AS-DC-Muneeb Rehman"/>
    <n v="5"/>
    <n v="2"/>
    <n v="0"/>
    <n v="1"/>
    <m/>
    <n v="5.6886227544910184E-2"/>
    <n v="2"/>
    <n v="61"/>
    <n v="167"/>
    <d v="1900-01-01T07:01:46"/>
    <n v="1"/>
    <m/>
    <m/>
    <m/>
    <m/>
    <x v="1"/>
    <x v="2"/>
    <n v="1"/>
  </r>
  <r>
    <s v="Abhishek Singh3"/>
    <x v="2"/>
    <s v="AS-DC-Muneeb Rehman"/>
    <n v="5"/>
    <n v="2"/>
    <n v="0"/>
    <n v="0"/>
    <m/>
    <n v="0"/>
    <n v="0"/>
    <n v="391"/>
    <n v="160"/>
    <d v="1900-01-03T00:20:01"/>
    <n v="1"/>
    <m/>
    <m/>
    <m/>
    <m/>
    <x v="1"/>
    <x v="0"/>
    <n v="2"/>
  </r>
  <r>
    <s v="Faisal Iqbal"/>
    <x v="2"/>
    <s v="AS-DC-Muneeb Rehman"/>
    <n v="27"/>
    <n v="13"/>
    <n v="0"/>
    <n v="0"/>
    <m/>
    <n v="0"/>
    <n v="0"/>
    <n v="495"/>
    <n v="164"/>
    <d v="1900-01-04T06:43:19"/>
    <n v="1"/>
    <m/>
    <m/>
    <m/>
    <m/>
    <x v="2"/>
    <x v="0"/>
    <n v="1"/>
  </r>
  <r>
    <s v="Gurmeet Singh Walia"/>
    <x v="2"/>
    <s v="AS-DC-Muneeb Rehman"/>
    <n v="9"/>
    <n v="3"/>
    <n v="0"/>
    <n v="1"/>
    <m/>
    <n v="5.6213017751479286E-2"/>
    <n v="3"/>
    <n v="109"/>
    <n v="169"/>
    <d v="1900-01-01T17:34:44"/>
    <n v="1"/>
    <m/>
    <m/>
    <m/>
    <m/>
    <x v="1"/>
    <x v="2"/>
    <n v="2"/>
  </r>
  <r>
    <s v="Saurabh Sharma"/>
    <x v="2"/>
    <s v="AS-DC-Muneeb Rehman"/>
    <n v="2"/>
    <n v="2"/>
    <n v="1"/>
    <n v="0"/>
    <m/>
    <n v="0"/>
    <n v="0"/>
    <n v="35"/>
    <n v="168"/>
    <d v="1899-12-30T19:59:52"/>
    <n v="1"/>
    <m/>
    <m/>
    <m/>
    <m/>
    <x v="0"/>
    <x v="0"/>
    <n v="0"/>
  </r>
  <r>
    <s v="Lovely Yadav"/>
    <x v="2"/>
    <s v="AS-DC-Muneeb Rehman"/>
    <n v="5"/>
    <n v="0"/>
    <n v="0"/>
    <n v="0"/>
    <m/>
    <n v="0"/>
    <n v="0"/>
    <n v="523"/>
    <n v="167"/>
    <d v="1900-01-03T16:09:27"/>
    <n v="1"/>
    <m/>
    <m/>
    <m/>
    <m/>
    <x v="1"/>
    <x v="2"/>
    <n v="1"/>
  </r>
  <r>
    <s v="Wardha Khan"/>
    <x v="2"/>
    <s v="AS-DC-Muneeb Rehman"/>
    <n v="7"/>
    <n v="0"/>
    <n v="0"/>
    <n v="0"/>
    <m/>
    <n v="0"/>
    <n v="0"/>
    <n v="482"/>
    <n v="166"/>
    <d v="1900-01-03T03:04:15"/>
    <n v="1"/>
    <m/>
    <m/>
    <m/>
    <m/>
    <x v="0"/>
    <x v="0"/>
    <n v="1"/>
  </r>
  <r>
    <s v="Megha Pant"/>
    <x v="2"/>
    <s v="AS-DC-Muneeb Rehman"/>
    <n v="7"/>
    <n v="4"/>
    <n v="0"/>
    <n v="0"/>
    <m/>
    <n v="0"/>
    <n v="0"/>
    <n v="575"/>
    <n v="166"/>
    <d v="1900-01-04T00:21:26"/>
    <n v="1"/>
    <m/>
    <m/>
    <m/>
    <m/>
    <x v="1"/>
    <x v="0"/>
    <n v="1"/>
  </r>
  <r>
    <s v="Aman Raghuvanshi"/>
    <x v="2"/>
    <s v="AS-DC-Muneeb Rehman"/>
    <n v="6"/>
    <n v="4"/>
    <n v="0"/>
    <n v="0"/>
    <m/>
    <n v="0"/>
    <n v="0"/>
    <n v="475"/>
    <n v="173"/>
    <d v="1900-01-04T08:44:35"/>
    <n v="1"/>
    <m/>
    <m/>
    <m/>
    <m/>
    <x v="0"/>
    <x v="0"/>
    <n v="0"/>
  </r>
  <r>
    <s v="Aman Saxena"/>
    <x v="2"/>
    <s v="AS-DC-Muneeb Rehman"/>
    <n v="10"/>
    <n v="4"/>
    <n v="0"/>
    <n v="0"/>
    <m/>
    <n v="0"/>
    <n v="0"/>
    <n v="621"/>
    <n v="161"/>
    <d v="1900-01-03T22:26:06"/>
    <n v="1"/>
    <m/>
    <m/>
    <m/>
    <m/>
    <x v="0"/>
    <x v="2"/>
    <n v="0"/>
  </r>
  <r>
    <s v="Ashwinee Gaurav"/>
    <x v="3"/>
    <s v="AS-Gautam Kumar"/>
    <n v="9"/>
    <n v="4"/>
    <n v="0"/>
    <n v="0"/>
    <m/>
    <n v="0"/>
    <n v="0"/>
    <n v="81"/>
    <n v="179"/>
    <d v="1900-01-03T16:46:01"/>
    <n v="1"/>
    <m/>
    <m/>
    <m/>
    <m/>
    <x v="1"/>
    <x v="0"/>
    <n v="1"/>
  </r>
  <r>
    <s v="Mukul Mayank"/>
    <x v="3"/>
    <s v="AS-Gautam Kumar"/>
    <n v="4"/>
    <n v="3"/>
    <n v="0"/>
    <n v="0"/>
    <m/>
    <n v="0"/>
    <n v="0"/>
    <n v="33"/>
    <n v="173"/>
    <d v="1900-01-02T02:44:02"/>
    <n v="1"/>
    <m/>
    <m/>
    <m/>
    <m/>
    <x v="0"/>
    <x v="0"/>
    <n v="0"/>
  </r>
  <r>
    <s v="Prakash Kumar"/>
    <x v="3"/>
    <s v="AS-Gautam Kumar"/>
    <n v="0"/>
    <n v="0"/>
    <n v="0"/>
    <n v="0"/>
    <m/>
    <n v="0"/>
    <n v="0"/>
    <n v="0"/>
    <n v="25"/>
    <d v="1899-12-30T00:36:59"/>
    <n v="1"/>
    <m/>
    <m/>
    <m/>
    <m/>
    <x v="1"/>
    <x v="0"/>
    <n v="0"/>
  </r>
  <r>
    <s v="Shashi Kant"/>
    <x v="3"/>
    <s v="AS-Gautam Kumar"/>
    <n v="24"/>
    <n v="19"/>
    <n v="0"/>
    <n v="0"/>
    <m/>
    <n v="0"/>
    <n v="0"/>
    <n v="356"/>
    <n v="169"/>
    <d v="1900-01-03T05:17:55"/>
    <n v="1"/>
    <m/>
    <m/>
    <m/>
    <m/>
    <x v="1"/>
    <x v="0"/>
    <n v="1"/>
  </r>
  <r>
    <s v="Sonal Charudatta Pawar"/>
    <x v="3"/>
    <s v="AS-Gautam Kumar"/>
    <n v="0"/>
    <n v="0"/>
    <n v="0"/>
    <n v="0"/>
    <m/>
    <n v="0"/>
    <n v="0"/>
    <n v="0"/>
    <n v="0"/>
    <d v="1899-12-30T00:00:00"/>
    <n v="1"/>
    <m/>
    <m/>
    <m/>
    <m/>
    <x v="1"/>
    <x v="0"/>
    <n v="0"/>
  </r>
  <r>
    <s v="Azhar Husain"/>
    <x v="3"/>
    <s v="AS-Gautam Kumar"/>
    <n v="27"/>
    <n v="20"/>
    <n v="0"/>
    <n v="0"/>
    <m/>
    <n v="0"/>
    <n v="0"/>
    <n v="297"/>
    <n v="168"/>
    <d v="1900-01-04T03:22:54"/>
    <n v="1"/>
    <m/>
    <m/>
    <m/>
    <m/>
    <x v="1"/>
    <x v="0"/>
    <n v="0"/>
  </r>
  <r>
    <s v="Vivek Satyawali"/>
    <x v="3"/>
    <s v="AS-Gautam Kumar"/>
    <n v="13"/>
    <n v="4"/>
    <n v="3"/>
    <n v="1"/>
    <m/>
    <n v="5.7575757575757579E-2"/>
    <n v="4"/>
    <n v="397"/>
    <n v="165"/>
    <d v="1900-01-03T20:18:54"/>
    <n v="1"/>
    <m/>
    <m/>
    <m/>
    <m/>
    <x v="1"/>
    <x v="0"/>
    <n v="0"/>
  </r>
  <r>
    <s v="Bivek Prasad"/>
    <x v="3"/>
    <s v="AS-Gautam Kumar"/>
    <n v="22"/>
    <n v="22"/>
    <n v="3"/>
    <n v="0"/>
    <m/>
    <n v="0"/>
    <n v="0"/>
    <n v="680"/>
    <n v="164"/>
    <d v="1900-01-03T12:48:57"/>
    <n v="1"/>
    <m/>
    <m/>
    <m/>
    <m/>
    <x v="1"/>
    <x v="0"/>
    <n v="0"/>
  </r>
  <r>
    <s v="Harsh Soni"/>
    <x v="3"/>
    <s v="AS-Gautam Kumar"/>
    <n v="23"/>
    <n v="22"/>
    <n v="0"/>
    <n v="0"/>
    <m/>
    <n v="0"/>
    <n v="0"/>
    <n v="1007"/>
    <n v="175"/>
    <d v="1900-01-04T07:44:44"/>
    <n v="1"/>
    <m/>
    <m/>
    <m/>
    <m/>
    <x v="0"/>
    <x v="0"/>
    <n v="1"/>
  </r>
  <r>
    <s v="Ashutosh Kumar Singh1"/>
    <x v="3"/>
    <s v="AS-Gautam Kumar"/>
    <n v="42"/>
    <n v="34"/>
    <n v="0"/>
    <n v="0"/>
    <m/>
    <n v="0"/>
    <n v="0"/>
    <n v="464"/>
    <n v="164"/>
    <d v="1900-01-03T18:28:58"/>
    <n v="1"/>
    <m/>
    <m/>
    <m/>
    <m/>
    <x v="1"/>
    <x v="0"/>
    <n v="0"/>
  </r>
  <r>
    <s v="Kashaf Khan"/>
    <x v="3"/>
    <s v="AS-Gautam Kumar"/>
    <n v="30"/>
    <n v="25"/>
    <n v="3"/>
    <n v="1"/>
    <m/>
    <n v="5.7926829268292679E-2"/>
    <n v="25"/>
    <n v="1138"/>
    <n v="164"/>
    <d v="1900-01-04T04:25:23"/>
    <n v="1"/>
    <m/>
    <m/>
    <m/>
    <m/>
    <x v="1"/>
    <x v="0"/>
    <n v="0"/>
  </r>
  <r>
    <s v="Sachin Bhardwaj"/>
    <x v="4"/>
    <s v="AS-HD-Arvind Bhatt"/>
    <n v="4"/>
    <n v="3"/>
    <n v="0"/>
    <n v="1"/>
    <m/>
    <n v="5.9748427672955975E-2"/>
    <n v="3"/>
    <n v="6"/>
    <n v="159"/>
    <d v="1899-12-30T16:58:45"/>
    <n v="1"/>
    <m/>
    <m/>
    <m/>
    <m/>
    <x v="1"/>
    <x v="0"/>
    <n v="0"/>
  </r>
  <r>
    <s v="Priyanshu Singh"/>
    <x v="4"/>
    <s v="AS-HD-Arvind Bhatt"/>
    <n v="7"/>
    <n v="6"/>
    <n v="0"/>
    <n v="0"/>
    <m/>
    <n v="0"/>
    <n v="0"/>
    <n v="95"/>
    <n v="170"/>
    <d v="1900-01-02T18:23:42"/>
    <n v="1"/>
    <m/>
    <m/>
    <m/>
    <m/>
    <x v="2"/>
    <x v="0"/>
    <n v="0"/>
  </r>
  <r>
    <s v="Samyak Jain"/>
    <x v="4"/>
    <s v="AS-HD-Dishank Jain"/>
    <n v="21"/>
    <n v="20"/>
    <n v="2"/>
    <n v="0"/>
    <m/>
    <n v="0"/>
    <n v="0"/>
    <n v="313"/>
    <n v="175"/>
    <d v="1900-01-04T09:31:01"/>
    <n v="1"/>
    <m/>
    <m/>
    <m/>
    <m/>
    <x v="1"/>
    <x v="0"/>
    <n v="1"/>
  </r>
  <r>
    <s v="Chetan Pachauri"/>
    <x v="4"/>
    <s v="AS-HD-Dishank Jain"/>
    <n v="18"/>
    <n v="16"/>
    <n v="1"/>
    <n v="0"/>
    <m/>
    <n v="0"/>
    <n v="0"/>
    <n v="604"/>
    <n v="166"/>
    <d v="1900-01-04T01:26:37"/>
    <n v="1"/>
    <m/>
    <m/>
    <m/>
    <m/>
    <x v="1"/>
    <x v="0"/>
    <n v="0"/>
  </r>
  <r>
    <s v="Suraj Suman"/>
    <x v="4"/>
    <s v="AS-HD-Dishank Jain"/>
    <n v="12"/>
    <n v="12"/>
    <n v="0"/>
    <n v="0"/>
    <m/>
    <n v="0"/>
    <n v="0"/>
    <n v="404"/>
    <n v="162"/>
    <d v="1900-01-02T14:09:55"/>
    <n v="1"/>
    <m/>
    <m/>
    <m/>
    <m/>
    <x v="1"/>
    <x v="0"/>
    <n v="0"/>
  </r>
  <r>
    <s v="Shweta Tyagi"/>
    <x v="4"/>
    <s v="AS-HD-Dishank Jain"/>
    <n v="30"/>
    <n v="23"/>
    <n v="0"/>
    <n v="0"/>
    <m/>
    <n v="0"/>
    <n v="0"/>
    <n v="492"/>
    <n v="161"/>
    <d v="1900-01-03T20:38:06"/>
    <n v="1"/>
    <m/>
    <m/>
    <m/>
    <m/>
    <x v="1"/>
    <x v="0"/>
    <n v="0"/>
  </r>
  <r>
    <s v="Prabhat Kumar"/>
    <x v="4"/>
    <s v="AS-HD-Dishank Jain"/>
    <n v="13"/>
    <n v="13"/>
    <n v="0"/>
    <n v="0"/>
    <m/>
    <n v="0"/>
    <n v="0"/>
    <n v="484"/>
    <n v="167"/>
    <d v="1900-01-03T20:35:21"/>
    <n v="1"/>
    <m/>
    <m/>
    <m/>
    <m/>
    <x v="1"/>
    <x v="0"/>
    <n v="1"/>
  </r>
  <r>
    <s v="Abhishek Patel"/>
    <x v="4"/>
    <s v="AS-HD-DJ-Ankesh Kumar"/>
    <n v="35"/>
    <n v="30"/>
    <n v="0"/>
    <n v="0"/>
    <m/>
    <n v="0"/>
    <n v="0"/>
    <n v="398"/>
    <n v="161"/>
    <d v="1900-01-03T22:32:52"/>
    <n v="1"/>
    <m/>
    <m/>
    <m/>
    <m/>
    <x v="1"/>
    <x v="0"/>
    <n v="0"/>
  </r>
  <r>
    <s v="Himanshu Shahi"/>
    <x v="4"/>
    <s v="AS-HD-DJ-Shaelendra Yadav"/>
    <n v="8"/>
    <n v="8"/>
    <n v="0"/>
    <n v="0"/>
    <m/>
    <n v="0"/>
    <n v="0"/>
    <n v="64"/>
    <n v="176"/>
    <d v="1900-01-02T13:55:18"/>
    <n v="1"/>
    <m/>
    <m/>
    <m/>
    <m/>
    <x v="1"/>
    <x v="2"/>
    <n v="0"/>
  </r>
  <r>
    <s v="Shaelendra Yadav"/>
    <x v="4"/>
    <s v="AS-HD-DJ-Shaelendra Yadav"/>
    <n v="1"/>
    <n v="1"/>
    <n v="0"/>
    <n v="0"/>
    <m/>
    <n v="0"/>
    <n v="0"/>
    <n v="2"/>
    <n v="163"/>
    <d v="1899-12-31T11:01:26"/>
    <n v="1"/>
    <m/>
    <m/>
    <m/>
    <m/>
    <x v="1"/>
    <x v="0"/>
    <n v="0"/>
  </r>
  <r>
    <s v="Sudeshna Joshi"/>
    <x v="4"/>
    <s v="AS-HD-DJ-Shaelendra Yadav"/>
    <n v="12"/>
    <n v="10"/>
    <n v="0"/>
    <n v="0"/>
    <m/>
    <n v="0"/>
    <n v="0"/>
    <n v="250"/>
    <n v="175"/>
    <d v="1900-01-04T15:23:58"/>
    <n v="1"/>
    <m/>
    <m/>
    <m/>
    <m/>
    <x v="0"/>
    <x v="0"/>
    <n v="0"/>
  </r>
  <r>
    <s v="Varun Kumar"/>
    <x v="4"/>
    <s v="AS-HD-DJ-Shaelendra Yadav"/>
    <n v="17"/>
    <n v="9"/>
    <n v="0"/>
    <n v="0"/>
    <m/>
    <n v="0"/>
    <n v="0"/>
    <n v="169"/>
    <n v="161"/>
    <d v="1900-01-02T23:50:18"/>
    <n v="1"/>
    <m/>
    <m/>
    <m/>
    <m/>
    <x v="1"/>
    <x v="0"/>
    <n v="0"/>
  </r>
  <r>
    <s v="Shantun Lavania"/>
    <x v="4"/>
    <s v="AS-HD-DJ-Shaelendra Yadav"/>
    <n v="13"/>
    <n v="11"/>
    <n v="4"/>
    <n v="0"/>
    <m/>
    <n v="0"/>
    <n v="0"/>
    <n v="709"/>
    <n v="170"/>
    <d v="1900-01-04T15:49:54"/>
    <n v="1"/>
    <m/>
    <m/>
    <m/>
    <m/>
    <x v="1"/>
    <x v="0"/>
    <n v="1"/>
  </r>
  <r>
    <s v="Harshit Chopra"/>
    <x v="4"/>
    <s v="AS-HD-Lakshya Bhardwaj"/>
    <n v="27"/>
    <n v="18"/>
    <n v="0"/>
    <n v="0"/>
    <m/>
    <n v="0"/>
    <n v="0"/>
    <n v="409"/>
    <n v="173"/>
    <d v="1900-01-04T03:51:58"/>
    <n v="1"/>
    <m/>
    <m/>
    <m/>
    <m/>
    <x v="1"/>
    <x v="0"/>
    <n v="0"/>
  </r>
  <r>
    <s v="Mahima Verma"/>
    <x v="4"/>
    <s v="AS-HD-Lakshya Bhardwaj"/>
    <n v="36"/>
    <n v="23"/>
    <n v="1"/>
    <n v="0"/>
    <m/>
    <n v="0"/>
    <n v="0"/>
    <n v="436"/>
    <n v="176"/>
    <d v="1900-01-04T08:25:52"/>
    <n v="1"/>
    <m/>
    <m/>
    <m/>
    <m/>
    <x v="1"/>
    <x v="0"/>
    <n v="0"/>
  </r>
  <r>
    <s v="Nimisha Talwar"/>
    <x v="4"/>
    <s v="AS-HD-Lakshya Bhardwaj"/>
    <n v="17"/>
    <n v="7"/>
    <n v="2"/>
    <n v="0"/>
    <m/>
    <n v="0"/>
    <n v="0"/>
    <n v="449"/>
    <n v="153"/>
    <d v="1900-01-03T02:02:25"/>
    <n v="1"/>
    <m/>
    <m/>
    <m/>
    <m/>
    <x v="1"/>
    <x v="0"/>
    <n v="0"/>
  </r>
  <r>
    <s v="Saaz Pathak"/>
    <x v="4"/>
    <s v="AS-HD-Lakshya Bhardwaj"/>
    <n v="32"/>
    <n v="22"/>
    <n v="0"/>
    <n v="0"/>
    <m/>
    <n v="0"/>
    <n v="0"/>
    <n v="757"/>
    <n v="164"/>
    <d v="1900-01-03T22:26:57"/>
    <n v="1"/>
    <m/>
    <m/>
    <m/>
    <m/>
    <x v="1"/>
    <x v="2"/>
    <n v="0"/>
  </r>
  <r>
    <s v="Naina Sharma"/>
    <x v="4"/>
    <s v="AS-HD-Lakshya Bhardwaj"/>
    <n v="15"/>
    <n v="11"/>
    <n v="2"/>
    <n v="0"/>
    <m/>
    <n v="0"/>
    <n v="0"/>
    <n v="310"/>
    <n v="162"/>
    <d v="1900-01-03T08:32:56"/>
    <n v="1"/>
    <m/>
    <m/>
    <m/>
    <m/>
    <x v="1"/>
    <x v="0"/>
    <n v="0"/>
  </r>
  <r>
    <s v="Suhaib Ahmad"/>
    <x v="4"/>
    <s v="AS-HD-Sahil Bedi"/>
    <n v="45"/>
    <n v="45"/>
    <n v="0"/>
    <n v="0"/>
    <m/>
    <n v="0"/>
    <n v="0"/>
    <n v="1814"/>
    <n v="165"/>
    <d v="1900-01-04T00:59:12"/>
    <n v="1"/>
    <m/>
    <m/>
    <m/>
    <m/>
    <x v="1"/>
    <x v="0"/>
    <n v="0"/>
  </r>
  <r>
    <s v="Deependra Shrivas"/>
    <x v="4"/>
    <s v="AS-HD-Sahil Bedi"/>
    <n v="43"/>
    <n v="43"/>
    <n v="0"/>
    <n v="0"/>
    <m/>
    <n v="0"/>
    <n v="0"/>
    <n v="2300"/>
    <n v="169"/>
    <d v="1900-01-04T05:37:16"/>
    <n v="1"/>
    <m/>
    <m/>
    <m/>
    <m/>
    <x v="1"/>
    <x v="0"/>
    <n v="0"/>
  </r>
  <r>
    <s v="Abhay Pandey"/>
    <x v="4"/>
    <s v="AS-HD-SK-Kajol Srivastava"/>
    <n v="0"/>
    <n v="0"/>
    <n v="0"/>
    <n v="0"/>
    <m/>
    <n v="0"/>
    <n v="0"/>
    <n v="83"/>
    <n v="150"/>
    <d v="1899-12-30T00:00:00"/>
    <n v="1"/>
    <m/>
    <m/>
    <m/>
    <m/>
    <x v="1"/>
    <x v="0"/>
    <n v="0"/>
  </r>
  <r>
    <s v="Preksha Srivastava"/>
    <x v="4"/>
    <s v="AS-HD-SK-Kajol Srivastava"/>
    <n v="23"/>
    <n v="17"/>
    <n v="2"/>
    <n v="1"/>
    <m/>
    <n v="5.6547619047619041E-2"/>
    <n v="17"/>
    <n v="240"/>
    <n v="168"/>
    <d v="1900-01-03T17:53:19"/>
    <n v="1"/>
    <m/>
    <m/>
    <m/>
    <m/>
    <x v="1"/>
    <x v="0"/>
    <n v="0"/>
  </r>
  <r>
    <s v="Anshika Singh"/>
    <x v="4"/>
    <s v="AS-HD-SK-Kajol Srivastava"/>
    <n v="22"/>
    <n v="16"/>
    <n v="2"/>
    <n v="1"/>
    <m/>
    <n v="5.9748427672955975E-2"/>
    <n v="16"/>
    <n v="361"/>
    <n v="159"/>
    <d v="1900-01-04T02:26:55"/>
    <n v="1"/>
    <m/>
    <m/>
    <m/>
    <m/>
    <x v="0"/>
    <x v="2"/>
    <n v="0"/>
  </r>
  <r>
    <s v="Abhishek Rawat"/>
    <x v="4"/>
    <s v="AS-HD-SK-Paromita Biswas"/>
    <n v="15"/>
    <n v="14"/>
    <n v="3"/>
    <n v="1"/>
    <m/>
    <n v="5.6886227544910184E-2"/>
    <n v="14"/>
    <n v="259"/>
    <n v="167"/>
    <d v="1900-01-03T20:09:58"/>
    <n v="1"/>
    <m/>
    <m/>
    <m/>
    <m/>
    <x v="0"/>
    <x v="0"/>
    <n v="0"/>
  </r>
  <r>
    <s v="Manjeet Kumar"/>
    <x v="4"/>
    <s v="AS-HD-SK-Paromita Biswas"/>
    <n v="16"/>
    <n v="12"/>
    <n v="4"/>
    <n v="0"/>
    <m/>
    <n v="0"/>
    <n v="0"/>
    <n v="256"/>
    <n v="173"/>
    <d v="1900-01-03T14:14:01"/>
    <n v="1"/>
    <m/>
    <m/>
    <m/>
    <m/>
    <x v="0"/>
    <x v="0"/>
    <n v="1"/>
  </r>
  <r>
    <s v="Yogesh Pratap Singh"/>
    <x v="4"/>
    <s v="AS-HD-SK-Paromita Biswas"/>
    <n v="13"/>
    <n v="11"/>
    <n v="7"/>
    <n v="0"/>
    <m/>
    <n v="0"/>
    <n v="0"/>
    <n v="193"/>
    <n v="168"/>
    <d v="1900-01-03T19:30:32"/>
    <n v="1"/>
    <m/>
    <m/>
    <m/>
    <m/>
    <x v="1"/>
    <x v="0"/>
    <n v="0"/>
  </r>
  <r>
    <s v="Irfan Haque"/>
    <x v="4"/>
    <s v="AS-HD-SK-Paromita Biswas"/>
    <n v="23"/>
    <n v="22"/>
    <n v="6"/>
    <n v="0"/>
    <m/>
    <n v="0"/>
    <n v="0"/>
    <n v="84"/>
    <n v="171"/>
    <d v="1900-01-03T18:41:05"/>
    <n v="1"/>
    <m/>
    <m/>
    <m/>
    <m/>
    <x v="1"/>
    <x v="0"/>
    <n v="0"/>
  </r>
  <r>
    <s v="Ritu Datta"/>
    <x v="5"/>
    <s v="AS-PKH-DD-Prashant Mishra"/>
    <n v="0"/>
    <n v="0"/>
    <n v="0"/>
    <n v="0"/>
    <m/>
    <n v="0"/>
    <n v="0"/>
    <n v="696"/>
    <n v="144"/>
    <d v="1900-01-05T04:38:52"/>
    <n v="1"/>
    <m/>
    <m/>
    <m/>
    <m/>
    <x v="1"/>
    <x v="0"/>
    <n v="0"/>
  </r>
  <r>
    <s v="Anamika Jain"/>
    <x v="6"/>
    <s v="AS-MA- Anamika Jain"/>
    <n v="11"/>
    <n v="1"/>
    <n v="0"/>
    <n v="0"/>
    <m/>
    <n v="0"/>
    <n v="0"/>
    <n v="320"/>
    <n v="172"/>
    <d v="1900-01-03T07:37:56"/>
    <n v="1"/>
    <m/>
    <m/>
    <m/>
    <m/>
    <x v="0"/>
    <x v="0"/>
    <n v="2"/>
  </r>
  <r>
    <s v="Sumit Kumar1"/>
    <x v="6"/>
    <s v="AS-MA- Deepak Jadon"/>
    <n v="18"/>
    <n v="4"/>
    <n v="0"/>
    <n v="0"/>
    <m/>
    <n v="0"/>
    <n v="0"/>
    <n v="1233"/>
    <n v="162"/>
    <d v="1900-01-04T13:16:33"/>
    <n v="1"/>
    <m/>
    <m/>
    <m/>
    <m/>
    <x v="1"/>
    <x v="0"/>
    <n v="0"/>
  </r>
  <r>
    <s v="Deepak Singh Jadon"/>
    <x v="6"/>
    <s v="AS-MA- Deepak Jadon"/>
    <n v="3"/>
    <n v="2"/>
    <n v="0"/>
    <n v="0"/>
    <m/>
    <n v="0"/>
    <n v="0"/>
    <n v="271"/>
    <n v="170"/>
    <d v="1900-01-04T09:11:20"/>
    <n v="1"/>
    <m/>
    <m/>
    <m/>
    <m/>
    <x v="1"/>
    <x v="0"/>
    <n v="1"/>
  </r>
  <r>
    <s v="Abhinav Upadhyay"/>
    <x v="6"/>
    <s v="AS-MA- Deepak Jadon"/>
    <n v="15"/>
    <n v="6"/>
    <n v="0"/>
    <n v="0"/>
    <m/>
    <n v="0"/>
    <n v="0"/>
    <n v="1082"/>
    <n v="160"/>
    <d v="1900-01-03T16:54:00"/>
    <n v="1"/>
    <m/>
    <m/>
    <m/>
    <m/>
    <x v="1"/>
    <x v="2"/>
    <n v="0"/>
  </r>
  <r>
    <s v="Anu Dhiman"/>
    <x v="6"/>
    <s v="AS-MA- Mayank Aggarwal"/>
    <n v="6"/>
    <n v="6"/>
    <n v="0"/>
    <n v="6"/>
    <m/>
    <n v="0.69512195121951215"/>
    <n v="1"/>
    <n v="1"/>
    <n v="82"/>
    <d v="1899-12-30T00:05:16"/>
    <n v="1"/>
    <m/>
    <m/>
    <m/>
    <m/>
    <x v="3"/>
    <x v="4"/>
    <n v="11"/>
  </r>
  <r>
    <s v="Abdul Rehman Ali Khan"/>
    <x v="6"/>
    <s v="AS-MA-Ashish Singh"/>
    <n v="30"/>
    <n v="19"/>
    <n v="0"/>
    <n v="0"/>
    <m/>
    <n v="0"/>
    <n v="0"/>
    <n v="854"/>
    <n v="161"/>
    <d v="1900-01-04T00:18:44"/>
    <n v="1"/>
    <m/>
    <m/>
    <m/>
    <m/>
    <x v="1"/>
    <x v="2"/>
    <n v="0"/>
  </r>
  <r>
    <s v="Ashish Singh2"/>
    <x v="6"/>
    <s v="AS-MA-Ashish Singh"/>
    <n v="1"/>
    <n v="1"/>
    <n v="0"/>
    <n v="0"/>
    <m/>
    <n v="0"/>
    <n v="0"/>
    <n v="139"/>
    <n v="167"/>
    <d v="1900-01-03T04:57:51"/>
    <n v="1"/>
    <m/>
    <m/>
    <m/>
    <m/>
    <x v="1"/>
    <x v="0"/>
    <n v="0"/>
  </r>
  <r>
    <s v="Vivek Sharma"/>
    <x v="6"/>
    <s v="AS-MA-Ashish Singh"/>
    <n v="10"/>
    <n v="6"/>
    <n v="0"/>
    <n v="1"/>
    <m/>
    <n v="5.9006211180124231E-2"/>
    <n v="6"/>
    <n v="1230"/>
    <n v="161"/>
    <d v="1900-01-03T22:37:42"/>
    <n v="1"/>
    <m/>
    <m/>
    <m/>
    <m/>
    <x v="0"/>
    <x v="0"/>
    <n v="0"/>
  </r>
  <r>
    <s v="Hidangmayum Bidyananda Sharma"/>
    <x v="6"/>
    <s v="AS-MA-Ashish Singh"/>
    <n v="19"/>
    <n v="8"/>
    <n v="0"/>
    <n v="0"/>
    <m/>
    <n v="0"/>
    <n v="0"/>
    <n v="796"/>
    <n v="159"/>
    <d v="1900-01-03T22:33:36"/>
    <n v="1"/>
    <m/>
    <m/>
    <m/>
    <m/>
    <x v="1"/>
    <x v="0"/>
    <n v="0"/>
  </r>
  <r>
    <s v="Nikesh Kumar Dubey"/>
    <x v="6"/>
    <s v="AS-MA-Ashish Singh"/>
    <n v="10"/>
    <n v="5"/>
    <n v="0"/>
    <n v="3"/>
    <m/>
    <n v="0.17378048780487804"/>
    <n v="1.6666666666666667"/>
    <n v="594"/>
    <n v="164"/>
    <d v="1900-01-04T08:35:59"/>
    <n v="1"/>
    <m/>
    <m/>
    <m/>
    <m/>
    <x v="1"/>
    <x v="0"/>
    <n v="1"/>
  </r>
  <r>
    <s v="Mohit Kumar1"/>
    <x v="6"/>
    <s v="AS-MA-Ashish Singh"/>
    <n v="13"/>
    <n v="3"/>
    <n v="0"/>
    <n v="1"/>
    <m/>
    <n v="6.1290322580645165E-2"/>
    <n v="3"/>
    <n v="536"/>
    <n v="155"/>
    <d v="1900-01-03T11:04:09"/>
    <n v="1"/>
    <m/>
    <m/>
    <m/>
    <m/>
    <x v="1"/>
    <x v="0"/>
    <n v="0"/>
  </r>
  <r>
    <s v="Amit Kumar1"/>
    <x v="6"/>
    <s v="AS-MA-Ashish Singh"/>
    <n v="3"/>
    <n v="0"/>
    <n v="0"/>
    <n v="0"/>
    <m/>
    <n v="0"/>
    <n v="0"/>
    <n v="578"/>
    <n v="159"/>
    <d v="1900-01-02T10:08:11"/>
    <n v="1"/>
    <m/>
    <m/>
    <m/>
    <m/>
    <x v="1"/>
    <x v="0"/>
    <n v="0"/>
  </r>
  <r>
    <s v="Chetan Goel"/>
    <x v="6"/>
    <s v="AS-MA-Chetan Goel"/>
    <n v="9"/>
    <n v="5"/>
    <n v="0"/>
    <n v="0"/>
    <m/>
    <n v="0"/>
    <n v="0"/>
    <n v="182"/>
    <n v="175"/>
    <d v="1900-01-03T17:25:07"/>
    <n v="1"/>
    <m/>
    <m/>
    <m/>
    <m/>
    <x v="1"/>
    <x v="1"/>
    <n v="0"/>
  </r>
  <r>
    <s v="Sonal Shukla"/>
    <x v="6"/>
    <s v="AS-MA-Chetan Goel"/>
    <n v="27"/>
    <n v="15"/>
    <n v="0"/>
    <n v="2"/>
    <m/>
    <n v="0.11585365853658536"/>
    <n v="7.5"/>
    <n v="1383"/>
    <n v="164"/>
    <d v="1900-01-04T00:08:49"/>
    <n v="1"/>
    <m/>
    <m/>
    <m/>
    <m/>
    <x v="0"/>
    <x v="0"/>
    <n v="0"/>
  </r>
  <r>
    <s v="Gurparab Singh"/>
    <x v="6"/>
    <s v="AS-MA-Chetan Goel"/>
    <n v="4"/>
    <n v="2"/>
    <n v="0"/>
    <n v="1"/>
    <m/>
    <n v="6.3758389261744972E-2"/>
    <n v="2"/>
    <n v="974"/>
    <n v="149"/>
    <d v="1900-01-03T05:30:10"/>
    <n v="1"/>
    <m/>
    <m/>
    <m/>
    <m/>
    <x v="1"/>
    <x v="0"/>
    <n v="0"/>
  </r>
  <r>
    <s v="Akshay Verma"/>
    <x v="6"/>
    <s v="AS-MA-Darshan Sah"/>
    <n v="19"/>
    <n v="5"/>
    <n v="0"/>
    <n v="0"/>
    <m/>
    <n v="0"/>
    <n v="0"/>
    <n v="362"/>
    <n v="182"/>
    <d v="1900-01-04T20:25:40"/>
    <n v="1"/>
    <m/>
    <m/>
    <m/>
    <m/>
    <x v="1"/>
    <x v="0"/>
    <n v="0"/>
  </r>
  <r>
    <s v="Darshan Sah"/>
    <x v="6"/>
    <s v="AS-MA-Darshan Sah"/>
    <n v="5"/>
    <n v="2"/>
    <n v="0"/>
    <n v="0"/>
    <m/>
    <n v="0"/>
    <n v="0"/>
    <n v="112"/>
    <n v="178"/>
    <d v="1900-01-04T17:49:06"/>
    <n v="1"/>
    <m/>
    <m/>
    <m/>
    <m/>
    <x v="1"/>
    <x v="0"/>
    <n v="0"/>
  </r>
  <r>
    <s v="Kundeti Rajasekhar"/>
    <x v="6"/>
    <s v="AS-MA-Darshan Sah"/>
    <n v="17"/>
    <n v="5"/>
    <n v="0"/>
    <n v="0"/>
    <m/>
    <n v="0"/>
    <n v="0"/>
    <n v="449"/>
    <n v="172"/>
    <d v="1900-01-04T13:06:51"/>
    <n v="1"/>
    <m/>
    <m/>
    <m/>
    <m/>
    <x v="1"/>
    <x v="0"/>
    <n v="1"/>
  </r>
  <r>
    <s v="Abhishek Thakur"/>
    <x v="6"/>
    <s v="AS-MA-Darshan Sah"/>
    <n v="15"/>
    <n v="6"/>
    <n v="0"/>
    <n v="1"/>
    <m/>
    <n v="5.2777777777777785E-2"/>
    <n v="6"/>
    <n v="365"/>
    <n v="180"/>
    <d v="1900-01-04T14:20:51"/>
    <n v="1"/>
    <m/>
    <m/>
    <m/>
    <m/>
    <x v="1"/>
    <x v="2"/>
    <n v="0"/>
  </r>
  <r>
    <s v="Himani Sharma"/>
    <x v="6"/>
    <s v="AS-MA-Himani Sharma"/>
    <n v="4"/>
    <n v="2"/>
    <n v="0"/>
    <n v="0"/>
    <m/>
    <n v="0"/>
    <n v="0"/>
    <n v="84"/>
    <n v="166"/>
    <d v="1900-01-03T10:55:55"/>
    <n v="1"/>
    <m/>
    <m/>
    <m/>
    <m/>
    <x v="1"/>
    <x v="0"/>
    <n v="0"/>
  </r>
  <r>
    <s v="Samarth Shukla"/>
    <x v="6"/>
    <s v="AS-MA-Himani Sharma"/>
    <n v="19"/>
    <n v="13"/>
    <n v="0"/>
    <n v="1"/>
    <m/>
    <n v="5.6547619047619041E-2"/>
    <n v="13"/>
    <n v="988"/>
    <n v="168"/>
    <d v="1900-01-04T06:01:54"/>
    <n v="1"/>
    <m/>
    <m/>
    <m/>
    <m/>
    <x v="1"/>
    <x v="0"/>
    <n v="0"/>
  </r>
  <r>
    <s v="Sharad Chauhan"/>
    <x v="6"/>
    <s v="AS-MA-Himani Sharma"/>
    <n v="10"/>
    <n v="3"/>
    <n v="1"/>
    <n v="1"/>
    <m/>
    <n v="5.7228915662650606E-2"/>
    <n v="3"/>
    <n v="1021"/>
    <n v="166"/>
    <d v="1900-01-03T06:54:13"/>
    <n v="1"/>
    <m/>
    <m/>
    <m/>
    <m/>
    <x v="1"/>
    <x v="0"/>
    <n v="0"/>
  </r>
  <r>
    <s v="Bhawana Banai"/>
    <x v="6"/>
    <s v="AS-MA-Mamta Rani"/>
    <n v="24"/>
    <n v="6"/>
    <n v="0"/>
    <n v="0"/>
    <m/>
    <n v="0"/>
    <n v="0"/>
    <n v="503"/>
    <n v="171"/>
    <d v="1900-01-03T00:52:51"/>
    <n v="1"/>
    <m/>
    <m/>
    <m/>
    <m/>
    <x v="0"/>
    <x v="0"/>
    <n v="0"/>
  </r>
  <r>
    <s v="Mamta Rani"/>
    <x v="6"/>
    <s v="AS-MA-Mamta Rani"/>
    <n v="0"/>
    <n v="0"/>
    <n v="0"/>
    <n v="0"/>
    <m/>
    <n v="0"/>
    <n v="0"/>
    <n v="0"/>
    <n v="59"/>
    <d v="1899-12-30T07:59:23"/>
    <n v="1"/>
    <m/>
    <m/>
    <m/>
    <m/>
    <x v="1"/>
    <x v="0"/>
    <n v="0"/>
  </r>
  <r>
    <s v="Abhishek Budhraja"/>
    <x v="6"/>
    <s v="AS-MA-Manish Chauhan"/>
    <n v="8"/>
    <n v="0"/>
    <n v="0"/>
    <n v="0"/>
    <m/>
    <n v="0"/>
    <n v="0"/>
    <n v="631"/>
    <n v="156"/>
    <d v="1900-01-02T18:00:25"/>
    <n v="1"/>
    <m/>
    <m/>
    <m/>
    <m/>
    <x v="1"/>
    <x v="0"/>
    <n v="0"/>
  </r>
  <r>
    <s v="Pawan Singh Rawat"/>
    <x v="6"/>
    <s v="AS-MA-Manish Chauhan"/>
    <n v="23"/>
    <n v="11"/>
    <n v="0"/>
    <n v="0"/>
    <m/>
    <n v="0"/>
    <n v="0"/>
    <n v="1254"/>
    <n v="173"/>
    <d v="1900-01-04T01:20:50"/>
    <n v="1"/>
    <m/>
    <m/>
    <m/>
    <m/>
    <x v="1"/>
    <x v="0"/>
    <n v="1"/>
  </r>
  <r>
    <s v="Vardaan Chaudhary"/>
    <x v="6"/>
    <s v="AS-MA-Manish Chauhan"/>
    <n v="10"/>
    <n v="7"/>
    <n v="0"/>
    <n v="0"/>
    <m/>
    <n v="0"/>
    <n v="0"/>
    <n v="2279"/>
    <n v="164"/>
    <d v="1900-01-03T23:23:59"/>
    <n v="1"/>
    <m/>
    <m/>
    <m/>
    <m/>
    <x v="1"/>
    <x v="0"/>
    <n v="0"/>
  </r>
  <r>
    <s v="Manish Chauhan"/>
    <x v="6"/>
    <s v="AS-MA-Manish Chauhan"/>
    <n v="2"/>
    <n v="2"/>
    <n v="0"/>
    <n v="0"/>
    <m/>
    <n v="0"/>
    <n v="0"/>
    <n v="195"/>
    <n v="170"/>
    <d v="1900-01-02T13:51:47"/>
    <n v="1"/>
    <m/>
    <m/>
    <m/>
    <m/>
    <x v="1"/>
    <x v="0"/>
    <n v="0"/>
  </r>
  <r>
    <s v="Chirag Chauhan"/>
    <x v="6"/>
    <s v="AS-MA-Reshma Siddiqui"/>
    <n v="17"/>
    <n v="3"/>
    <n v="0"/>
    <n v="0"/>
    <m/>
    <n v="0"/>
    <n v="0"/>
    <n v="217"/>
    <n v="172"/>
    <d v="1900-01-03T22:34:52"/>
    <n v="1"/>
    <m/>
    <m/>
    <m/>
    <m/>
    <x v="1"/>
    <x v="0"/>
    <n v="0"/>
  </r>
  <r>
    <s v="Reshma Siddiqui"/>
    <x v="6"/>
    <s v="AS-MA-Reshma Siddiqui"/>
    <n v="10"/>
    <n v="7"/>
    <n v="1"/>
    <n v="0"/>
    <m/>
    <n v="0"/>
    <n v="0"/>
    <n v="202"/>
    <n v="169"/>
    <d v="1900-01-03T18:52:09"/>
    <n v="1"/>
    <m/>
    <m/>
    <m/>
    <m/>
    <x v="1"/>
    <x v="2"/>
    <n v="0"/>
  </r>
  <r>
    <s v="Suryansh Sharma"/>
    <x v="6"/>
    <s v="AS-MA-Reshma Siddiqui"/>
    <n v="16"/>
    <n v="6"/>
    <n v="0"/>
    <n v="0"/>
    <m/>
    <n v="0"/>
    <n v="0"/>
    <n v="757"/>
    <n v="168"/>
    <d v="1900-01-03T09:17:59"/>
    <n v="1"/>
    <m/>
    <m/>
    <m/>
    <m/>
    <x v="1"/>
    <x v="0"/>
    <n v="0"/>
  </r>
  <r>
    <s v="Shrey Sharma"/>
    <x v="6"/>
    <s v="AS-MA-Shrey Sharma"/>
    <n v="0"/>
    <n v="0"/>
    <n v="0"/>
    <n v="0"/>
    <m/>
    <n v="0"/>
    <n v="0"/>
    <n v="2"/>
    <n v="122"/>
    <d v="1899-12-30T19:37:20"/>
    <n v="1"/>
    <m/>
    <m/>
    <m/>
    <m/>
    <x v="1"/>
    <x v="0"/>
    <n v="0"/>
  </r>
  <r>
    <s v="Dushyant Kinra"/>
    <x v="6"/>
    <s v="AS-MA-Vimal Shukla"/>
    <n v="6"/>
    <n v="0"/>
    <n v="0"/>
    <n v="0"/>
    <m/>
    <n v="0"/>
    <n v="0"/>
    <n v="205"/>
    <n v="153"/>
    <d v="1900-01-03T10:58:47"/>
    <n v="1"/>
    <m/>
    <m/>
    <m/>
    <m/>
    <x v="1"/>
    <x v="2"/>
    <n v="0"/>
  </r>
  <r>
    <s v="Vinay Kumar"/>
    <x v="6"/>
    <s v="AS-MA-Vimal Shukla"/>
    <n v="14"/>
    <n v="6"/>
    <n v="0"/>
    <n v="0"/>
    <m/>
    <n v="0"/>
    <n v="0"/>
    <n v="950"/>
    <n v="170"/>
    <d v="1900-01-04T03:29:04"/>
    <n v="1"/>
    <m/>
    <m/>
    <m/>
    <m/>
    <x v="1"/>
    <x v="0"/>
    <n v="0"/>
  </r>
  <r>
    <s v="Vimal Shukla"/>
    <x v="6"/>
    <s v="AS-MA-Vimal Shukla"/>
    <n v="1"/>
    <n v="1"/>
    <n v="0"/>
    <n v="0"/>
    <m/>
    <n v="0"/>
    <n v="0"/>
    <n v="71"/>
    <n v="176"/>
    <d v="1900-01-03T20:39:41"/>
    <n v="1"/>
    <m/>
    <m/>
    <m/>
    <m/>
    <x v="1"/>
    <x v="2"/>
    <n v="0"/>
  </r>
  <r>
    <s v="Anurag Masih"/>
    <x v="6"/>
    <s v="AS-MA-Vimal Shukla"/>
    <n v="16"/>
    <n v="6"/>
    <n v="0"/>
    <n v="0"/>
    <m/>
    <n v="0"/>
    <n v="0"/>
    <n v="394"/>
    <n v="165"/>
    <d v="1900-01-04T04:45:10"/>
    <n v="1"/>
    <m/>
    <m/>
    <m/>
    <m/>
    <x v="1"/>
    <x v="0"/>
    <n v="0"/>
  </r>
  <r>
    <s v="Akshay Verma1"/>
    <x v="6"/>
    <s v="AS-MA-Vimal Shukla"/>
    <n v="14"/>
    <n v="5"/>
    <n v="0"/>
    <n v="0"/>
    <m/>
    <n v="0"/>
    <n v="0"/>
    <n v="878"/>
    <n v="154"/>
    <d v="1900-01-02T08:58:31"/>
    <n v="1"/>
    <m/>
    <m/>
    <m/>
    <m/>
    <x v="0"/>
    <x v="2"/>
    <n v="0"/>
  </r>
  <r>
    <s v="Anuradha Chaudhary"/>
    <x v="6"/>
    <s v="AS-MA-Vimal Shukla"/>
    <n v="10"/>
    <n v="0"/>
    <n v="0"/>
    <n v="0"/>
    <m/>
    <n v="0"/>
    <n v="0"/>
    <n v="796"/>
    <n v="175"/>
    <d v="1900-01-04T00:07:28"/>
    <n v="1"/>
    <m/>
    <m/>
    <m/>
    <m/>
    <x v="1"/>
    <x v="0"/>
    <n v="0"/>
  </r>
  <r>
    <s v="Arjun Singh"/>
    <x v="6"/>
    <s v="AS-MA-Yash Mittal"/>
    <n v="8"/>
    <n v="0"/>
    <n v="0"/>
    <n v="0"/>
    <m/>
    <n v="0"/>
    <n v="0"/>
    <n v="1115"/>
    <n v="156"/>
    <d v="1900-01-04T02:23:06"/>
    <n v="1"/>
    <m/>
    <m/>
    <m/>
    <m/>
    <x v="1"/>
    <x v="2"/>
    <n v="0"/>
  </r>
  <r>
    <s v="Yasir Khan"/>
    <x v="6"/>
    <s v="AS-MA-Yash Mittal"/>
    <n v="19"/>
    <n v="9"/>
    <n v="0"/>
    <n v="0"/>
    <m/>
    <n v="0"/>
    <n v="0"/>
    <n v="679"/>
    <n v="150"/>
    <d v="1900-01-04T03:16:18"/>
    <n v="1"/>
    <m/>
    <m/>
    <m/>
    <m/>
    <x v="1"/>
    <x v="0"/>
    <n v="0"/>
  </r>
  <r>
    <s v="Yash Kumar Mittal"/>
    <x v="6"/>
    <s v="AS-MA-Yash Mittal"/>
    <n v="5"/>
    <n v="3"/>
    <n v="0"/>
    <n v="0"/>
    <m/>
    <n v="0"/>
    <n v="0"/>
    <n v="75"/>
    <n v="178"/>
    <d v="1900-01-02T19:42:14"/>
    <n v="1"/>
    <m/>
    <m/>
    <m/>
    <m/>
    <x v="1"/>
    <x v="0"/>
    <n v="1"/>
  </r>
  <r>
    <s v="Khushi Sharma"/>
    <x v="6"/>
    <s v="AS-MA-Yash Mittal"/>
    <n v="8"/>
    <n v="2"/>
    <n v="0"/>
    <n v="0"/>
    <m/>
    <n v="0"/>
    <n v="0"/>
    <n v="772"/>
    <n v="154"/>
    <d v="1900-01-03T14:53:25"/>
    <n v="1"/>
    <m/>
    <m/>
    <m/>
    <m/>
    <x v="0"/>
    <x v="2"/>
    <n v="0"/>
  </r>
  <r>
    <s v="Pari Agarwal"/>
    <x v="6"/>
    <s v="AS-MA-Yash Mittal"/>
    <n v="11"/>
    <n v="4"/>
    <n v="0"/>
    <n v="0"/>
    <m/>
    <n v="0"/>
    <n v="0"/>
    <n v="758"/>
    <n v="169"/>
    <d v="1900-01-03T19:44:24"/>
    <n v="1"/>
    <m/>
    <m/>
    <m/>
    <m/>
    <x v="0"/>
    <x v="0"/>
    <n v="0"/>
  </r>
  <r>
    <s v="Kunal Sharma"/>
    <x v="6"/>
    <s v="AS-MA-Yash Mittal"/>
    <n v="9"/>
    <n v="1"/>
    <n v="0"/>
    <n v="0"/>
    <m/>
    <n v="0"/>
    <n v="0"/>
    <n v="543"/>
    <n v="168"/>
    <d v="1900-01-03T22:50:57"/>
    <n v="1"/>
    <m/>
    <m/>
    <m/>
    <m/>
    <x v="0"/>
    <x v="0"/>
    <n v="0"/>
  </r>
  <r>
    <s v="Yatin Pandit"/>
    <x v="6"/>
    <s v="AS-MA-Yatin Pandit"/>
    <n v="1"/>
    <n v="1"/>
    <n v="0"/>
    <n v="0"/>
    <m/>
    <n v="0"/>
    <n v="0"/>
    <n v="281"/>
    <n v="174"/>
    <d v="1900-01-02T23:51:08"/>
    <n v="1"/>
    <m/>
    <m/>
    <m/>
    <m/>
    <x v="1"/>
    <x v="0"/>
    <n v="0"/>
  </r>
  <r>
    <s v="Raju Patnana"/>
    <x v="6"/>
    <s v="AS-MA-Yatin Pandit"/>
    <n v="8"/>
    <n v="2"/>
    <n v="0"/>
    <n v="0"/>
    <m/>
    <n v="0"/>
    <n v="0"/>
    <n v="898"/>
    <n v="167"/>
    <d v="1900-01-03T15:26:46"/>
    <n v="1"/>
    <m/>
    <m/>
    <m/>
    <m/>
    <x v="1"/>
    <x v="0"/>
    <n v="1"/>
  </r>
  <r>
    <s v="Sauran Kumar"/>
    <x v="6"/>
    <s v="AS-MA-Yatin Pandit"/>
    <n v="26"/>
    <n v="10"/>
    <n v="0"/>
    <n v="0"/>
    <m/>
    <n v="0"/>
    <n v="0"/>
    <n v="636"/>
    <n v="169"/>
    <d v="1900-01-04T01:30:25"/>
    <n v="1"/>
    <m/>
    <m/>
    <m/>
    <m/>
    <x v="1"/>
    <x v="0"/>
    <n v="1"/>
  </r>
  <r>
    <s v="Rajat Sharma"/>
    <x v="6"/>
    <s v="AS-MA-Yatin Pandit"/>
    <n v="18"/>
    <n v="10"/>
    <n v="0"/>
    <n v="0"/>
    <m/>
    <n v="0"/>
    <n v="0"/>
    <n v="488"/>
    <n v="163"/>
    <d v="1900-01-04T01:31:55"/>
    <n v="1"/>
    <m/>
    <m/>
    <m/>
    <m/>
    <x v="2"/>
    <x v="0"/>
    <n v="0"/>
  </r>
  <r>
    <s v="Nishtha Tongaria"/>
    <x v="5"/>
    <s v="AS-PKH-DD-Altimetrik"/>
    <n v="48"/>
    <n v="48"/>
    <n v="0"/>
    <n v="0"/>
    <m/>
    <n v="0"/>
    <n v="0"/>
    <n v="944"/>
    <n v="166"/>
    <d v="1900-01-03T22:35:32"/>
    <n v="1"/>
    <m/>
    <m/>
    <m/>
    <m/>
    <x v="0"/>
    <x v="0"/>
    <n v="0"/>
  </r>
  <r>
    <s v="Aashna Salman"/>
    <x v="5"/>
    <s v="AS-PKH-DD-Altimetrik"/>
    <n v="51"/>
    <n v="51"/>
    <n v="0"/>
    <n v="0"/>
    <m/>
    <n v="0"/>
    <n v="0"/>
    <n v="731"/>
    <n v="165"/>
    <d v="1900-01-03T19:57:19"/>
    <n v="1"/>
    <m/>
    <m/>
    <m/>
    <m/>
    <x v="1"/>
    <x v="0"/>
    <n v="0"/>
  </r>
  <r>
    <s v="Pragya Shahi"/>
    <x v="5"/>
    <s v="AS-PKH-DD-Altimetrik"/>
    <n v="49"/>
    <n v="49"/>
    <n v="0"/>
    <n v="0"/>
    <m/>
    <n v="0"/>
    <n v="0"/>
    <n v="871"/>
    <n v="155"/>
    <d v="1900-01-02T23:04:05"/>
    <n v="1"/>
    <m/>
    <m/>
    <m/>
    <m/>
    <x v="1"/>
    <x v="0"/>
    <n v="0"/>
  </r>
  <r>
    <s v="Jai Tiwari"/>
    <x v="5"/>
    <s v="AS-PKH-DD-Altimetrik"/>
    <n v="53"/>
    <n v="52"/>
    <n v="0"/>
    <n v="0"/>
    <m/>
    <n v="0"/>
    <n v="0"/>
    <n v="764"/>
    <n v="166"/>
    <d v="1900-01-04T07:35:34"/>
    <n v="1"/>
    <m/>
    <m/>
    <m/>
    <m/>
    <x v="1"/>
    <x v="0"/>
    <n v="0"/>
  </r>
  <r>
    <s v="Himanshu Kashyap"/>
    <x v="5"/>
    <s v="AS-PKH-DD-Altimetrik"/>
    <n v="35"/>
    <n v="35"/>
    <n v="0"/>
    <n v="0"/>
    <m/>
    <n v="0"/>
    <n v="0"/>
    <n v="326"/>
    <n v="162"/>
    <d v="1900-01-04T02:24:18"/>
    <n v="1"/>
    <m/>
    <m/>
    <m/>
    <m/>
    <x v="1"/>
    <x v="0"/>
    <n v="0"/>
  </r>
  <r>
    <s v="Aquib Jawed"/>
    <x v="5"/>
    <s v="AS-PKH-DD-Ravi Rajput"/>
    <n v="16"/>
    <n v="16"/>
    <n v="0"/>
    <n v="0"/>
    <m/>
    <n v="0"/>
    <n v="0"/>
    <n v="502"/>
    <n v="171"/>
    <d v="1900-01-03T12:04:01"/>
    <n v="1"/>
    <m/>
    <m/>
    <m/>
    <m/>
    <x v="1"/>
    <x v="2"/>
    <n v="1"/>
  </r>
  <r>
    <s v="Abhishek Deniyal"/>
    <x v="5"/>
    <s v="AS-PKH-DD-Ravi Rajput"/>
    <n v="40"/>
    <n v="40"/>
    <n v="0"/>
    <n v="0"/>
    <m/>
    <n v="0"/>
    <n v="0"/>
    <n v="607"/>
    <n v="159"/>
    <d v="1900-01-03T13:03:08"/>
    <n v="1"/>
    <m/>
    <m/>
    <m/>
    <m/>
    <x v="1"/>
    <x v="0"/>
    <n v="0"/>
  </r>
  <r>
    <s v="Sana Khan"/>
    <x v="5"/>
    <s v="AS-PKH-DD-Ravi Rajput"/>
    <n v="42"/>
    <n v="41"/>
    <n v="1"/>
    <n v="0"/>
    <m/>
    <n v="0"/>
    <n v="0"/>
    <n v="618"/>
    <n v="161"/>
    <d v="1900-01-03T11:30:49"/>
    <n v="1"/>
    <m/>
    <m/>
    <m/>
    <m/>
    <x v="1"/>
    <x v="0"/>
    <n v="0"/>
  </r>
  <r>
    <s v="Faraz Khan"/>
    <x v="5"/>
    <s v="AS-PKH-DD-VD-Faraz Khan"/>
    <n v="47"/>
    <n v="47"/>
    <n v="0"/>
    <n v="0"/>
    <m/>
    <n v="0"/>
    <n v="0"/>
    <n v="550"/>
    <n v="167"/>
    <d v="1900-01-03T22:25:06"/>
    <n v="1"/>
    <m/>
    <m/>
    <m/>
    <m/>
    <x v="1"/>
    <x v="0"/>
    <n v="1"/>
  </r>
  <r>
    <s v="Shivangi Bhutani"/>
    <x v="5"/>
    <s v="AS-PKH-DD-VD-Faraz Khan"/>
    <n v="54"/>
    <n v="54"/>
    <n v="0"/>
    <n v="0"/>
    <m/>
    <n v="0"/>
    <n v="0"/>
    <n v="644"/>
    <n v="169"/>
    <d v="1900-01-03T15:03:16"/>
    <n v="1"/>
    <m/>
    <m/>
    <m/>
    <m/>
    <x v="1"/>
    <x v="0"/>
    <n v="0"/>
  </r>
  <r>
    <s v="Vineet Dhull"/>
    <x v="5"/>
    <s v="AS-PKH-DD-VD-Sonali Thakur"/>
    <n v="0"/>
    <n v="0"/>
    <n v="0"/>
    <n v="0"/>
    <m/>
    <n v="0"/>
    <n v="0"/>
    <n v="0"/>
    <n v="163"/>
    <d v="1900-01-01T18:47:42"/>
    <n v="1"/>
    <m/>
    <m/>
    <m/>
    <m/>
    <x v="1"/>
    <x v="0"/>
    <n v="0"/>
  </r>
  <r>
    <s v="Shivam Mishra"/>
    <x v="5"/>
    <s v="AS-PKH-DD-VD-Faraz Khan"/>
    <n v="45"/>
    <n v="44"/>
    <n v="0"/>
    <n v="0"/>
    <m/>
    <n v="0"/>
    <n v="0"/>
    <n v="1240"/>
    <n v="164"/>
    <d v="1900-01-03T18:54:08"/>
    <n v="1"/>
    <m/>
    <m/>
    <m/>
    <m/>
    <x v="1"/>
    <x v="0"/>
    <n v="0"/>
  </r>
  <r>
    <s v="Pooja Rani Sidhwani"/>
    <x v="5"/>
    <s v="AS-PKH-Harish Kumar"/>
    <n v="5"/>
    <n v="4"/>
    <n v="0"/>
    <n v="0"/>
    <m/>
    <n v="0"/>
    <n v="0"/>
    <n v="64"/>
    <n v="132"/>
    <d v="1899-12-30T17:05:39"/>
    <n v="1"/>
    <m/>
    <m/>
    <m/>
    <m/>
    <x v="1"/>
    <x v="0"/>
    <n v="0"/>
  </r>
  <r>
    <s v="Heena Khan"/>
    <x v="5"/>
    <s v="AS-PKH-Harish Kumar"/>
    <n v="44"/>
    <n v="38"/>
    <n v="0"/>
    <n v="0"/>
    <m/>
    <n v="0"/>
    <n v="0"/>
    <n v="242"/>
    <n v="150"/>
    <d v="1900-01-03T21:41:37"/>
    <n v="1"/>
    <m/>
    <m/>
    <m/>
    <m/>
    <x v="1"/>
    <x v="0"/>
    <n v="0"/>
  </r>
  <r>
    <s v="Mamta Rawat"/>
    <x v="5"/>
    <s v="AS-PKH-Harish Kumar"/>
    <n v="41"/>
    <n v="39"/>
    <n v="0"/>
    <n v="0"/>
    <m/>
    <n v="0"/>
    <n v="0"/>
    <n v="429"/>
    <n v="151"/>
    <d v="1900-01-03T10:13:07"/>
    <n v="1"/>
    <m/>
    <m/>
    <m/>
    <m/>
    <x v="1"/>
    <x v="0"/>
    <n v="0"/>
  </r>
  <r>
    <s v="Dilip Singh"/>
    <x v="5"/>
    <s v="AS-PKH-SR-Dilip Singh"/>
    <n v="8"/>
    <n v="8"/>
    <n v="0"/>
    <n v="0"/>
    <m/>
    <n v="0"/>
    <n v="0"/>
    <n v="16"/>
    <n v="125"/>
    <d v="1899-12-30T05:37:27"/>
    <n v="1"/>
    <m/>
    <m/>
    <m/>
    <m/>
    <x v="1"/>
    <x v="0"/>
    <n v="0"/>
  </r>
  <r>
    <s v="Gaurav Kumar Jha"/>
    <x v="5"/>
    <s v="AS-PKH-SR-Dilip Singh"/>
    <n v="29"/>
    <n v="29"/>
    <n v="0"/>
    <n v="0"/>
    <m/>
    <n v="0"/>
    <n v="0"/>
    <n v="528"/>
    <n v="168"/>
    <d v="1900-01-03T08:05:42"/>
    <n v="1"/>
    <m/>
    <m/>
    <m/>
    <m/>
    <x v="1"/>
    <x v="2"/>
    <n v="1"/>
  </r>
  <r>
    <s v="Shashank Kumar1"/>
    <x v="5"/>
    <s v="AS-PKH-Sumit Srivastava"/>
    <n v="64"/>
    <n v="62"/>
    <n v="0"/>
    <n v="0"/>
    <m/>
    <n v="0"/>
    <n v="0"/>
    <n v="824"/>
    <n v="166"/>
    <d v="1900-01-04T01:24:10"/>
    <n v="1"/>
    <m/>
    <m/>
    <m/>
    <m/>
    <x v="1"/>
    <x v="0"/>
    <n v="0"/>
  </r>
  <r>
    <s v="Nayana Kamsena"/>
    <x v="5"/>
    <s v="AS-PKH-Sumit Srivastava"/>
    <n v="45"/>
    <n v="45"/>
    <n v="0"/>
    <n v="0"/>
    <m/>
    <n v="0"/>
    <n v="0"/>
    <n v="593"/>
    <n v="166"/>
    <d v="1900-01-03T13:31:34"/>
    <n v="1"/>
    <m/>
    <m/>
    <m/>
    <m/>
    <x v="1"/>
    <x v="0"/>
    <n v="1"/>
  </r>
  <r>
    <s v="Avinash Kumar Yadav"/>
    <x v="5"/>
    <s v="AS-PKH-Sumit Srivastava"/>
    <n v="57"/>
    <n v="57"/>
    <n v="0"/>
    <n v="0"/>
    <m/>
    <n v="0"/>
    <n v="0"/>
    <n v="584"/>
    <n v="175"/>
    <d v="1900-01-03T22:02:53"/>
    <n v="1"/>
    <m/>
    <m/>
    <m/>
    <m/>
    <x v="1"/>
    <x v="2"/>
    <n v="0"/>
  </r>
  <r>
    <s v="Mohit Sharma3"/>
    <x v="5"/>
    <s v="AS-PKH-Sumit Srivastava"/>
    <n v="50"/>
    <n v="50"/>
    <n v="0"/>
    <n v="0"/>
    <m/>
    <n v="0"/>
    <n v="0"/>
    <n v="711"/>
    <n v="169"/>
    <d v="1900-01-03T03:35:21"/>
    <n v="1"/>
    <m/>
    <m/>
    <m/>
    <m/>
    <x v="1"/>
    <x v="2"/>
    <n v="0"/>
  </r>
  <r>
    <s v="Prakhar Singhal"/>
    <x v="5"/>
    <s v="AS-PKH-Suryansh Rajput"/>
    <n v="29"/>
    <n v="28"/>
    <n v="0"/>
    <n v="0"/>
    <m/>
    <n v="0"/>
    <n v="0"/>
    <n v="628"/>
    <n v="168"/>
    <d v="1900-01-03T22:10:46"/>
    <n v="1"/>
    <m/>
    <m/>
    <m/>
    <m/>
    <x v="2"/>
    <x v="2"/>
    <n v="0"/>
  </r>
  <r>
    <s v="Amit Dua"/>
    <x v="7"/>
    <s v="AS-PK- Dhan Kumar Shah"/>
    <n v="10"/>
    <n v="7"/>
    <n v="0"/>
    <n v="0"/>
    <m/>
    <n v="0"/>
    <n v="0"/>
    <n v="322"/>
    <n v="173"/>
    <d v="1900-01-03T22:37:42"/>
    <n v="1"/>
    <m/>
    <m/>
    <m/>
    <m/>
    <x v="0"/>
    <x v="0"/>
    <n v="0"/>
  </r>
  <r>
    <s v="Bhawana Suyal"/>
    <x v="7"/>
    <s v="AS-PK- Dhan Kumar Shah"/>
    <n v="8"/>
    <n v="5"/>
    <n v="3"/>
    <n v="0"/>
    <m/>
    <n v="0"/>
    <n v="0"/>
    <n v="725"/>
    <n v="158"/>
    <d v="1900-01-04T03:06:43"/>
    <n v="1"/>
    <m/>
    <m/>
    <m/>
    <m/>
    <x v="1"/>
    <x v="0"/>
    <n v="1"/>
  </r>
  <r>
    <s v="Anurag Patel"/>
    <x v="7"/>
    <s v="AS-PK- Dhan Kumar Shah"/>
    <n v="7"/>
    <n v="3"/>
    <n v="0"/>
    <n v="0"/>
    <m/>
    <n v="0"/>
    <n v="0"/>
    <n v="1090"/>
    <n v="169"/>
    <d v="1900-01-04T13:47:54"/>
    <n v="1"/>
    <m/>
    <m/>
    <m/>
    <m/>
    <x v="1"/>
    <x v="2"/>
    <n v="0"/>
  </r>
  <r>
    <s v="Dhan Kumar Shah"/>
    <x v="7"/>
    <s v="AS-PK- Dhan Kumar Shah"/>
    <n v="0"/>
    <n v="0"/>
    <n v="0"/>
    <n v="0"/>
    <m/>
    <n v="0"/>
    <n v="0"/>
    <n v="129"/>
    <n v="173"/>
    <d v="1900-01-04T01:21:30"/>
    <n v="1"/>
    <m/>
    <m/>
    <m/>
    <m/>
    <x v="1"/>
    <x v="0"/>
    <n v="0"/>
  </r>
  <r>
    <s v="Pankaj Kanwaria"/>
    <x v="7"/>
    <s v="AS-PK- Dhan Kumar Shah"/>
    <n v="9"/>
    <n v="5"/>
    <n v="2"/>
    <n v="0"/>
    <m/>
    <n v="0"/>
    <n v="0"/>
    <n v="541"/>
    <n v="159"/>
    <d v="1900-01-03T05:48:34"/>
    <n v="1"/>
    <m/>
    <m/>
    <m/>
    <m/>
    <x v="0"/>
    <x v="0"/>
    <n v="0"/>
  </r>
  <r>
    <s v="Aviral Gupta"/>
    <x v="7"/>
    <s v="AS-PK-AKS-Aviral Gupta"/>
    <n v="0"/>
    <n v="0"/>
    <n v="0"/>
    <n v="0"/>
    <m/>
    <n v="0"/>
    <n v="0"/>
    <n v="16"/>
    <n v="174"/>
    <d v="1900-01-03T02:22:28"/>
    <n v="1"/>
    <m/>
    <m/>
    <m/>
    <m/>
    <x v="1"/>
    <x v="0"/>
    <n v="0"/>
  </r>
  <r>
    <s v="Mohd Hasan"/>
    <x v="7"/>
    <s v="AS-PK-AKS-Aviral Gupta"/>
    <n v="9"/>
    <n v="1"/>
    <n v="0"/>
    <n v="0"/>
    <m/>
    <n v="0"/>
    <n v="0"/>
    <n v="335"/>
    <n v="164"/>
    <d v="1900-01-03T04:58:22"/>
    <n v="1"/>
    <m/>
    <m/>
    <m/>
    <m/>
    <x v="1"/>
    <x v="0"/>
    <n v="0"/>
  </r>
  <r>
    <s v="Esha Thapa"/>
    <x v="7"/>
    <s v="AS-PK-AKS-Aviral Gupta"/>
    <n v="5"/>
    <n v="2"/>
    <n v="0"/>
    <n v="0"/>
    <m/>
    <n v="0"/>
    <n v="0"/>
    <n v="940"/>
    <n v="168"/>
    <d v="1900-01-04T02:05:25"/>
    <n v="1"/>
    <m/>
    <m/>
    <m/>
    <m/>
    <x v="1"/>
    <x v="0"/>
    <n v="0"/>
  </r>
  <r>
    <s v="Ankita Tariyal"/>
    <x v="7"/>
    <s v="AS-PK-AKS-Mohit Vijan"/>
    <n v="0"/>
    <n v="0"/>
    <n v="0"/>
    <n v="0"/>
    <m/>
    <n v="0"/>
    <n v="0"/>
    <n v="0"/>
    <n v="40"/>
    <d v="1899-12-30T00:00:00"/>
    <n v="1"/>
    <m/>
    <m/>
    <m/>
    <m/>
    <x v="1"/>
    <x v="0"/>
    <n v="0"/>
  </r>
  <r>
    <s v="Kavitha Seenappa"/>
    <x v="7"/>
    <s v="AS-PK-AKS-Mohit Vijan"/>
    <n v="0"/>
    <n v="0"/>
    <n v="0"/>
    <n v="0"/>
    <m/>
    <n v="0"/>
    <n v="0"/>
    <n v="0"/>
    <n v="57"/>
    <d v="1899-12-30T00:00:00"/>
    <n v="1"/>
    <m/>
    <m/>
    <m/>
    <m/>
    <x v="1"/>
    <x v="0"/>
    <n v="0"/>
  </r>
  <r>
    <s v="Vishal Rajput"/>
    <x v="7"/>
    <s v="AS-PK-AKS-Nitesh Sharma"/>
    <n v="4"/>
    <n v="3"/>
    <n v="0"/>
    <n v="0"/>
    <m/>
    <n v="0"/>
    <n v="0"/>
    <n v="943"/>
    <n v="165"/>
    <d v="1900-01-03T10:22:45"/>
    <n v="1"/>
    <m/>
    <m/>
    <m/>
    <m/>
    <x v="1"/>
    <x v="0"/>
    <n v="0"/>
  </r>
  <r>
    <s v="Manoj Rana"/>
    <x v="7"/>
    <s v="AS-PK-Manroop Biswas"/>
    <n v="7"/>
    <n v="2"/>
    <n v="0"/>
    <n v="0"/>
    <m/>
    <n v="0"/>
    <n v="0"/>
    <n v="511"/>
    <n v="163"/>
    <d v="1900-01-02T20:07:18"/>
    <n v="1"/>
    <m/>
    <m/>
    <m/>
    <m/>
    <x v="1"/>
    <x v="0"/>
    <n v="0"/>
  </r>
  <r>
    <s v="Inder Jeet"/>
    <x v="7"/>
    <s v="AS-PK-MB-Chiranjeev Lenka"/>
    <n v="6"/>
    <n v="3"/>
    <n v="2"/>
    <n v="0"/>
    <m/>
    <n v="0"/>
    <n v="0"/>
    <n v="553"/>
    <n v="160"/>
    <d v="1900-01-03T05:09:11"/>
    <n v="1"/>
    <m/>
    <m/>
    <m/>
    <m/>
    <x v="1"/>
    <x v="0"/>
    <n v="0"/>
  </r>
  <r>
    <s v="Akash Mishra"/>
    <x v="7"/>
    <s v="AS-PK-MB-Chiranjeev Lenka"/>
    <n v="6"/>
    <n v="3"/>
    <n v="0"/>
    <n v="0"/>
    <m/>
    <n v="0"/>
    <n v="0"/>
    <n v="868"/>
    <n v="161"/>
    <d v="1900-01-02T20:31:02"/>
    <n v="1"/>
    <m/>
    <m/>
    <m/>
    <m/>
    <x v="1"/>
    <x v="0"/>
    <n v="0"/>
  </r>
  <r>
    <s v="Manoj Chauhan"/>
    <x v="7"/>
    <s v="AS-PK-MB-Manoj Chauhan"/>
    <n v="1"/>
    <n v="2"/>
    <n v="0"/>
    <n v="0"/>
    <m/>
    <n v="0"/>
    <n v="0"/>
    <n v="47"/>
    <n v="155"/>
    <d v="1900-01-02T19:28:55"/>
    <n v="1"/>
    <m/>
    <m/>
    <m/>
    <m/>
    <x v="1"/>
    <x v="0"/>
    <n v="0"/>
  </r>
  <r>
    <s v="Hemant Kumar Sharma"/>
    <x v="7"/>
    <s v="AS-PK-SK-Alka Dagar"/>
    <n v="3"/>
    <n v="1"/>
    <n v="0"/>
    <n v="0"/>
    <m/>
    <n v="0"/>
    <n v="0"/>
    <n v="824"/>
    <n v="124"/>
    <d v="1900-01-03T06:21:13"/>
    <n v="1"/>
    <m/>
    <m/>
    <m/>
    <m/>
    <x v="1"/>
    <x v="0"/>
    <n v="2"/>
  </r>
  <r>
    <s v="Alka Dagar"/>
    <x v="7"/>
    <s v="AS-PK-SK-Alka Dagar"/>
    <n v="5"/>
    <n v="4"/>
    <n v="0"/>
    <n v="2"/>
    <m/>
    <n v="0.11309523809523808"/>
    <n v="2"/>
    <n v="95"/>
    <n v="168"/>
    <d v="1900-01-02T10:01:03"/>
    <n v="1"/>
    <m/>
    <m/>
    <m/>
    <m/>
    <x v="1"/>
    <x v="0"/>
    <n v="0"/>
  </r>
  <r>
    <s v="Vishwas Batra"/>
    <x v="7"/>
    <s v="AS-PK-SK-Alka Dagar"/>
    <n v="13"/>
    <n v="9"/>
    <n v="5"/>
    <n v="0"/>
    <m/>
    <n v="0"/>
    <n v="0"/>
    <n v="444"/>
    <n v="155"/>
    <d v="1900-01-03T06:31:24"/>
    <n v="1"/>
    <m/>
    <m/>
    <m/>
    <m/>
    <x v="1"/>
    <x v="0"/>
    <n v="0"/>
  </r>
  <r>
    <s v="Omesha Johari"/>
    <x v="7"/>
    <s v="AS-PK-SK-Alka Dagar"/>
    <n v="8"/>
    <n v="8"/>
    <n v="6"/>
    <n v="0"/>
    <m/>
    <n v="0"/>
    <n v="0"/>
    <n v="485"/>
    <n v="161"/>
    <d v="1900-01-02T00:33:11"/>
    <n v="1"/>
    <m/>
    <m/>
    <m/>
    <m/>
    <x v="1"/>
    <x v="2"/>
    <n v="0"/>
  </r>
  <r>
    <s v="Imran Ali"/>
    <x v="7"/>
    <s v="AS-PK-Subodh Kumar"/>
    <n v="10"/>
    <n v="7"/>
    <n v="0"/>
    <n v="1"/>
    <m/>
    <n v="5.9748427672955975E-2"/>
    <n v="7"/>
    <n v="533"/>
    <n v="159"/>
    <d v="1900-01-04T04:52:03"/>
    <n v="1"/>
    <m/>
    <m/>
    <m/>
    <m/>
    <x v="1"/>
    <x v="2"/>
    <n v="0"/>
  </r>
  <r>
    <s v="Rajeev Kumar2"/>
    <x v="7"/>
    <s v="AS-PK-Subodh Kumar"/>
    <n v="6"/>
    <n v="3"/>
    <n v="0"/>
    <n v="1"/>
    <m/>
    <n v="5.9748427672955975E-2"/>
    <n v="3"/>
    <n v="681"/>
    <n v="159"/>
    <d v="1900-01-02T18:57:08"/>
    <n v="1"/>
    <m/>
    <m/>
    <m/>
    <m/>
    <x v="1"/>
    <x v="0"/>
    <n v="1"/>
  </r>
  <r>
    <s v="Nilesh Kholiya"/>
    <x v="7"/>
    <s v="AS-PK-Subodh Kumar"/>
    <n v="8"/>
    <n v="3"/>
    <n v="0"/>
    <n v="0"/>
    <m/>
    <n v="0"/>
    <n v="0"/>
    <n v="833"/>
    <n v="165"/>
    <d v="1900-01-03T23:23:26"/>
    <n v="1"/>
    <m/>
    <m/>
    <m/>
    <m/>
    <x v="1"/>
    <x v="0"/>
    <n v="0"/>
  </r>
  <r>
    <s v="Subodh Kumar1"/>
    <x v="7"/>
    <s v="AS-PK-Subodh Kumar"/>
    <n v="0"/>
    <n v="0"/>
    <n v="0"/>
    <n v="0"/>
    <m/>
    <n v="0"/>
    <n v="0"/>
    <n v="0"/>
    <n v="30"/>
    <d v="1899-12-30T00:01:29"/>
    <n v="1"/>
    <m/>
    <m/>
    <m/>
    <m/>
    <x v="1"/>
    <x v="2"/>
    <n v="0"/>
  </r>
  <r>
    <s v="Ejaz Aslam"/>
    <x v="8"/>
    <s v="AS -TD-Priyam Mukherjee"/>
    <n v="8"/>
    <n v="2"/>
    <n v="1"/>
    <n v="1"/>
    <m/>
    <n v="5.7575757575757579E-2"/>
    <n v="2"/>
    <n v="422"/>
    <n v="165"/>
    <d v="1900-01-03T06:54:25"/>
    <n v="1"/>
    <m/>
    <m/>
    <m/>
    <m/>
    <x v="1"/>
    <x v="0"/>
    <n v="1"/>
  </r>
  <r>
    <s v="Md Modassir Ahsan"/>
    <x v="8"/>
    <s v="AS -TD-Priyam Mukherjee"/>
    <n v="5"/>
    <n v="1"/>
    <n v="1"/>
    <n v="0"/>
    <m/>
    <n v="0"/>
    <n v="0"/>
    <n v="328"/>
    <n v="170"/>
    <d v="1900-01-04T01:53:41"/>
    <n v="1"/>
    <m/>
    <m/>
    <m/>
    <m/>
    <x v="1"/>
    <x v="2"/>
    <n v="0"/>
  </r>
  <r>
    <s v="Monideep Chakraborty"/>
    <x v="8"/>
    <s v="AS -TD-Priyam Mukherjee"/>
    <n v="6"/>
    <n v="3"/>
    <n v="1"/>
    <n v="0"/>
    <m/>
    <n v="0"/>
    <n v="0"/>
    <n v="202"/>
    <n v="168"/>
    <d v="1900-01-03T01:12:11"/>
    <n v="1"/>
    <m/>
    <m/>
    <m/>
    <m/>
    <x v="1"/>
    <x v="0"/>
    <n v="0"/>
  </r>
  <r>
    <s v="Priyam Mukherjee"/>
    <x v="8"/>
    <s v="AS -TD-Priyam Mukherjee"/>
    <n v="0"/>
    <n v="0"/>
    <n v="0"/>
    <n v="0"/>
    <m/>
    <n v="0"/>
    <n v="0"/>
    <n v="1"/>
    <n v="144"/>
    <d v="1899-12-30T22:20:41"/>
    <n v="1"/>
    <m/>
    <m/>
    <m/>
    <m/>
    <x v="1"/>
    <x v="0"/>
    <n v="0"/>
  </r>
  <r>
    <s v="Harsh Sharma"/>
    <x v="8"/>
    <s v="AS-TD-Ibrar Ahmed"/>
    <n v="7"/>
    <n v="4"/>
    <n v="0"/>
    <n v="0"/>
    <m/>
    <n v="0"/>
    <n v="0"/>
    <n v="344"/>
    <n v="169"/>
    <d v="1900-01-03T12:09:48"/>
    <n v="1"/>
    <m/>
    <m/>
    <m/>
    <m/>
    <x v="0"/>
    <x v="0"/>
    <n v="0"/>
  </r>
  <r>
    <s v="Ibrar Ahmed"/>
    <x v="8"/>
    <s v="AS-TD-Ibrar Ahmed"/>
    <n v="0"/>
    <n v="0"/>
    <n v="0"/>
    <n v="0"/>
    <m/>
    <n v="0"/>
    <n v="0"/>
    <n v="0"/>
    <n v="156"/>
    <d v="1900-01-01T04:33:02"/>
    <n v="1"/>
    <m/>
    <m/>
    <m/>
    <m/>
    <x v="1"/>
    <x v="0"/>
    <n v="0"/>
  </r>
  <r>
    <s v="Tuhin Mallick"/>
    <x v="8"/>
    <s v="AS-TD-Ibrar Ahmed"/>
    <n v="3"/>
    <n v="0"/>
    <n v="0"/>
    <n v="0"/>
    <m/>
    <n v="0"/>
    <n v="0"/>
    <n v="402"/>
    <n v="161"/>
    <d v="1900-01-03T17:16:49"/>
    <n v="1"/>
    <m/>
    <m/>
    <m/>
    <m/>
    <x v="1"/>
    <x v="0"/>
    <n v="0"/>
  </r>
  <r>
    <s v="Vishal Kumar Rai"/>
    <x v="8"/>
    <s v="AS-TD-Ibrar Ahmed"/>
    <n v="6"/>
    <n v="1"/>
    <n v="1"/>
    <n v="0"/>
    <m/>
    <n v="0"/>
    <n v="0"/>
    <n v="627"/>
    <n v="170"/>
    <d v="1900-01-04T08:40:34"/>
    <n v="1"/>
    <m/>
    <m/>
    <m/>
    <m/>
    <x v="1"/>
    <x v="0"/>
    <n v="0"/>
  </r>
  <r>
    <s v="Sk Tazeem Farogh Ahmed"/>
    <x v="8"/>
    <s v="AS-TD-Ibrar Ahmed"/>
    <n v="5"/>
    <n v="2"/>
    <n v="0"/>
    <n v="0"/>
    <m/>
    <n v="0"/>
    <n v="0"/>
    <n v="369"/>
    <n v="169"/>
    <d v="1900-01-03T14:49:03"/>
    <n v="1"/>
    <m/>
    <m/>
    <m/>
    <m/>
    <x v="0"/>
    <x v="0"/>
    <n v="0"/>
  </r>
  <r>
    <s v="Simran Dua"/>
    <x v="9"/>
    <s v="GS-NS-Ankit Verma"/>
    <n v="0"/>
    <n v="0"/>
    <n v="0"/>
    <n v="0"/>
    <m/>
    <n v="0"/>
    <n v="0"/>
    <n v="486"/>
    <n v="164"/>
    <d v="1900-01-02T20:15:07"/>
    <n v="1"/>
    <m/>
    <m/>
    <m/>
    <m/>
    <x v="1"/>
    <x v="0"/>
    <n v="0"/>
  </r>
  <r>
    <s v="Sayali Yogesh Shinde"/>
    <x v="9"/>
    <s v="GS-NS-Ankit Verma"/>
    <n v="13"/>
    <n v="1"/>
    <n v="0"/>
    <n v="1"/>
    <m/>
    <n v="4.9479166666666671E-2"/>
    <n v="1"/>
    <n v="744"/>
    <n v="192"/>
    <d v="1900-01-03T17:37:08"/>
    <n v="1"/>
    <m/>
    <m/>
    <m/>
    <m/>
    <x v="1"/>
    <x v="0"/>
    <n v="4"/>
  </r>
  <r>
    <s v="Varsha Kumari"/>
    <x v="9"/>
    <s v="GS-NS-Ankit Verma"/>
    <n v="13"/>
    <n v="13"/>
    <n v="2"/>
    <n v="1"/>
    <m/>
    <n v="5.7575757575757579E-2"/>
    <n v="13"/>
    <n v="758"/>
    <n v="165"/>
    <d v="1900-01-03T17:59:20"/>
    <n v="1"/>
    <m/>
    <m/>
    <m/>
    <m/>
    <x v="2"/>
    <x v="3"/>
    <n v="1"/>
  </r>
  <r>
    <s v="Kajal Kumari"/>
    <x v="9"/>
    <s v="GS-NS-AS-Kajal Kumari"/>
    <n v="12"/>
    <n v="10"/>
    <n v="2"/>
    <n v="1"/>
    <m/>
    <n v="6.0509554140127389E-2"/>
    <n v="10"/>
    <n v="206"/>
    <n v="157"/>
    <d v="1900-01-03T18:28:17"/>
    <n v="1"/>
    <m/>
    <m/>
    <m/>
    <m/>
    <x v="1"/>
    <x v="2"/>
    <n v="2"/>
  </r>
  <r>
    <s v="Ayushi Sharma"/>
    <x v="9"/>
    <s v="GS-NS-AS-Kajal Kumari"/>
    <n v="8"/>
    <n v="8"/>
    <n v="0"/>
    <n v="0"/>
    <m/>
    <n v="0"/>
    <n v="0"/>
    <n v="371"/>
    <n v="167"/>
    <d v="1900-01-03T19:00:48"/>
    <n v="1"/>
    <m/>
    <m/>
    <m/>
    <m/>
    <x v="0"/>
    <x v="0"/>
    <n v="4"/>
  </r>
  <r>
    <s v="Ayushi Babu"/>
    <x v="9"/>
    <s v="GS-NS-AS-Kajal Kumari"/>
    <n v="22"/>
    <n v="21"/>
    <n v="1"/>
    <n v="0"/>
    <m/>
    <n v="0"/>
    <n v="0"/>
    <n v="759"/>
    <n v="166"/>
    <d v="1900-01-03T14:16:03"/>
    <n v="1"/>
    <m/>
    <m/>
    <m/>
    <m/>
    <x v="0"/>
    <x v="0"/>
    <n v="3"/>
  </r>
  <r>
    <s v="Oupmeet Kour"/>
    <x v="9"/>
    <s v="GS-NS-AS-Oupmeet Kour"/>
    <n v="18"/>
    <n v="12"/>
    <n v="3"/>
    <n v="3"/>
    <m/>
    <n v="0.15159574468085105"/>
    <n v="4"/>
    <n v="446"/>
    <n v="188"/>
    <d v="1900-01-03T14:12:48"/>
    <n v="1"/>
    <m/>
    <m/>
    <m/>
    <m/>
    <x v="0"/>
    <x v="2"/>
    <n v="1"/>
  </r>
  <r>
    <s v="Anushree Sharma"/>
    <x v="9"/>
    <s v="GS-NS-AV1-Anushree Sharma"/>
    <n v="13"/>
    <n v="12"/>
    <n v="0"/>
    <n v="1"/>
    <m/>
    <n v="6.25E-2"/>
    <n v="12"/>
    <n v="532"/>
    <n v="152"/>
    <d v="1900-01-03T19:15:51"/>
    <n v="1"/>
    <m/>
    <m/>
    <m/>
    <m/>
    <x v="4"/>
    <x v="0"/>
    <n v="3"/>
  </r>
  <r>
    <s v="Mani Sharma"/>
    <x v="9"/>
    <s v="GS-NS-AV1-Rahul Joshi"/>
    <n v="11"/>
    <n v="11"/>
    <n v="2"/>
    <n v="1"/>
    <m/>
    <n v="5.8641975308641972E-2"/>
    <n v="11"/>
    <n v="507"/>
    <n v="162"/>
    <d v="1900-01-03T15:03:01"/>
    <n v="1"/>
    <m/>
    <m/>
    <m/>
    <m/>
    <x v="0"/>
    <x v="2"/>
    <n v="1"/>
  </r>
  <r>
    <s v="Rahul Datt Joshi"/>
    <x v="9"/>
    <s v="GS-NS-AV1-Rahul Joshi"/>
    <n v="11"/>
    <n v="11"/>
    <n v="0"/>
    <n v="0"/>
    <m/>
    <n v="0"/>
    <n v="0"/>
    <n v="364"/>
    <n v="169"/>
    <d v="1900-01-04T01:46:11"/>
    <n v="1"/>
    <m/>
    <m/>
    <m/>
    <m/>
    <x v="0"/>
    <x v="1"/>
    <n v="1"/>
  </r>
  <r>
    <s v="Zaara Wasim"/>
    <x v="9"/>
    <s v="GS-NS-AV1-Rahul Joshi"/>
    <n v="15"/>
    <n v="14"/>
    <n v="0"/>
    <n v="1"/>
    <m/>
    <n v="5.5882352941176466E-2"/>
    <n v="14"/>
    <n v="1009"/>
    <n v="170"/>
    <d v="1900-01-04T08:57:44"/>
    <n v="1"/>
    <m/>
    <m/>
    <m/>
    <m/>
    <x v="0"/>
    <x v="0"/>
    <n v="2"/>
  </r>
  <r>
    <s v="Ankita Singh1"/>
    <x v="9"/>
    <s v="GS-NS-AV1-Temjen Lyngdoh"/>
    <n v="19"/>
    <n v="18"/>
    <n v="4"/>
    <n v="2"/>
    <m/>
    <n v="0.70370370370370372"/>
    <n v="9"/>
    <n v="378"/>
    <n v="27"/>
    <d v="1900-01-04T07:24:23"/>
    <n v="1"/>
    <m/>
    <m/>
    <m/>
    <m/>
    <x v="1"/>
    <x v="0"/>
    <n v="2"/>
  </r>
  <r>
    <s v="Temjen J Lyngdoh"/>
    <x v="9"/>
    <s v="GS-NS-AV1-Temjen Lyngdoh"/>
    <n v="9"/>
    <n v="9"/>
    <n v="1"/>
    <n v="4"/>
    <m/>
    <n v="0.21468926553672316"/>
    <n v="2.25"/>
    <n v="318"/>
    <n v="177"/>
    <d v="1900-01-04T05:44:37"/>
    <n v="1"/>
    <m/>
    <m/>
    <m/>
    <m/>
    <x v="1"/>
    <x v="2"/>
    <n v="4"/>
  </r>
  <r>
    <s v="Anup Sharma"/>
    <x v="9"/>
    <s v="GS-RK-Deepanshu Panchal"/>
    <n v="19"/>
    <n v="9"/>
    <n v="0"/>
    <n v="1"/>
    <m/>
    <n v="5.9748427672955975E-2"/>
    <n v="9"/>
    <n v="544"/>
    <n v="159"/>
    <d v="1900-01-03T23:31:36"/>
    <n v="1"/>
    <m/>
    <m/>
    <m/>
    <m/>
    <x v="1"/>
    <x v="2"/>
    <n v="1"/>
  </r>
  <r>
    <s v="Astha Kashyap"/>
    <x v="9"/>
    <s v="GS-RK-Astha Kashyap"/>
    <n v="9"/>
    <n v="5"/>
    <n v="1"/>
    <n v="0"/>
    <m/>
    <n v="0"/>
    <n v="0"/>
    <n v="145"/>
    <n v="167"/>
    <d v="1900-01-03T00:38:25"/>
    <n v="1"/>
    <m/>
    <m/>
    <m/>
    <m/>
    <x v="2"/>
    <x v="2"/>
    <n v="2"/>
  </r>
  <r>
    <s v="Ruchi Yadav"/>
    <x v="9"/>
    <s v="GS-RK-Astha Kashyap"/>
    <n v="14"/>
    <n v="6"/>
    <n v="0"/>
    <n v="6"/>
    <m/>
    <n v="0.36075949367088606"/>
    <n v="1"/>
    <n v="978"/>
    <n v="158"/>
    <d v="1900-01-03T14:28:34"/>
    <n v="1"/>
    <m/>
    <m/>
    <m/>
    <m/>
    <x v="1"/>
    <x v="2"/>
    <n v="0"/>
  </r>
  <r>
    <s v="Ankita Maurya"/>
    <x v="9"/>
    <s v="GS-RK-Astha Kashyap"/>
    <n v="24"/>
    <n v="11"/>
    <n v="3"/>
    <n v="1"/>
    <m/>
    <n v="5.459770114942529E-2"/>
    <n v="11"/>
    <n v="623"/>
    <n v="174"/>
    <d v="1900-01-04T01:52:46"/>
    <n v="1"/>
    <m/>
    <m/>
    <m/>
    <m/>
    <x v="0"/>
    <x v="2"/>
    <n v="1"/>
  </r>
  <r>
    <s v="Chandan Manral"/>
    <x v="9"/>
    <s v="GS-RK-Chandan Manral"/>
    <n v="25"/>
    <n v="2"/>
    <n v="1"/>
    <n v="3"/>
    <m/>
    <n v="0.1484375"/>
    <n v="0.66666666666666663"/>
    <n v="148"/>
    <n v="192"/>
    <d v="1900-01-04T04:54:56"/>
    <n v="1"/>
    <m/>
    <m/>
    <m/>
    <m/>
    <x v="2"/>
    <x v="0"/>
    <n v="2"/>
  </r>
  <r>
    <s v="Abhivradhi Kakaria"/>
    <x v="9"/>
    <s v="GS-RK-Chandan Manral"/>
    <n v="45"/>
    <n v="9"/>
    <n v="0"/>
    <n v="2"/>
    <m/>
    <n v="0.10795454545454546"/>
    <n v="4.5"/>
    <n v="679"/>
    <n v="176"/>
    <d v="1900-01-04T12:39:16"/>
    <n v="1"/>
    <m/>
    <m/>
    <m/>
    <m/>
    <x v="1"/>
    <x v="0"/>
    <n v="2"/>
  </r>
  <r>
    <s v="Debashish Pramanick"/>
    <x v="9"/>
    <s v="GS-RK-Debashish Pramanick"/>
    <n v="19"/>
    <n v="7"/>
    <n v="0"/>
    <n v="0"/>
    <m/>
    <n v="0"/>
    <n v="0"/>
    <n v="112"/>
    <n v="160"/>
    <d v="1900-01-03T12:37:17"/>
    <n v="1"/>
    <m/>
    <m/>
    <m/>
    <m/>
    <x v="1"/>
    <x v="0"/>
    <n v="1"/>
  </r>
  <r>
    <s v="Rishav Kumar Jain"/>
    <x v="9"/>
    <s v="GS-RK-Debashish Pramanick"/>
    <n v="17"/>
    <n v="8"/>
    <n v="2"/>
    <n v="3"/>
    <m/>
    <n v="0.20802919708029197"/>
    <n v="2.6666666666666665"/>
    <n v="1116"/>
    <n v="137"/>
    <d v="1900-01-04T09:18:55"/>
    <n v="1"/>
    <m/>
    <m/>
    <m/>
    <m/>
    <x v="1"/>
    <x v="2"/>
    <n v="4"/>
  </r>
  <r>
    <s v="Payal Negi"/>
    <x v="9"/>
    <s v="GS-RK-Debashish Pramanick"/>
    <n v="39"/>
    <n v="18"/>
    <n v="0"/>
    <n v="3"/>
    <m/>
    <n v="0.16569767441860467"/>
    <n v="6"/>
    <n v="558"/>
    <n v="172"/>
    <d v="1900-01-04T10:00:00"/>
    <n v="1"/>
    <m/>
    <m/>
    <m/>
    <m/>
    <x v="1"/>
    <x v="2"/>
    <n v="1"/>
  </r>
  <r>
    <s v="Kanak Singh"/>
    <x v="9"/>
    <s v="GS-RK-Debashish Pramanick"/>
    <n v="15"/>
    <n v="9"/>
    <n v="1"/>
    <n v="1"/>
    <m/>
    <n v="5.9006211180124231E-2"/>
    <n v="9"/>
    <n v="842"/>
    <n v="161"/>
    <d v="1900-01-04T12:14:59"/>
    <n v="1"/>
    <m/>
    <m/>
    <m/>
    <m/>
    <x v="1"/>
    <x v="0"/>
    <n v="6"/>
  </r>
  <r>
    <s v="Deepanshu Panchal"/>
    <x v="9"/>
    <s v="GS-RK-Deepanshu Panchal"/>
    <n v="11"/>
    <n v="5"/>
    <n v="0"/>
    <n v="0"/>
    <m/>
    <n v="0"/>
    <n v="0"/>
    <n v="108"/>
    <n v="179"/>
    <d v="1900-01-03T17:14:02"/>
    <n v="1"/>
    <m/>
    <m/>
    <m/>
    <m/>
    <x v="1"/>
    <x v="2"/>
    <n v="1"/>
  </r>
  <r>
    <s v="Neeraj Dev"/>
    <x v="9"/>
    <s v="GS-RK-Deepanshu Panchal"/>
    <n v="28"/>
    <n v="19"/>
    <n v="0"/>
    <n v="1"/>
    <m/>
    <n v="5.6547619047619041E-2"/>
    <n v="19"/>
    <n v="677"/>
    <n v="168"/>
    <d v="1900-01-04T03:05:30"/>
    <n v="1"/>
    <m/>
    <m/>
    <m/>
    <m/>
    <x v="1"/>
    <x v="1"/>
    <n v="0"/>
  </r>
  <r>
    <s v="Purnima Sah"/>
    <x v="9"/>
    <s v="GS-RK-Deepanshu Panchal"/>
    <n v="18"/>
    <n v="10"/>
    <n v="1"/>
    <n v="1"/>
    <m/>
    <n v="6.0509554140127389E-2"/>
    <n v="10"/>
    <n v="821"/>
    <n v="157"/>
    <d v="1900-01-04T05:56:35"/>
    <n v="1"/>
    <m/>
    <m/>
    <m/>
    <m/>
    <x v="1"/>
    <x v="3"/>
    <n v="0"/>
  </r>
  <r>
    <s v="Mohd Azhar"/>
    <x v="10"/>
    <s v="HG-KS-Vikas Jangra"/>
    <n v="18"/>
    <n v="3"/>
    <n v="2"/>
    <n v="0"/>
    <m/>
    <n v="0"/>
    <n v="0"/>
    <n v="98"/>
    <n v="160"/>
    <d v="1900-01-03T01:45:48"/>
    <n v="1"/>
    <m/>
    <m/>
    <m/>
    <m/>
    <x v="1"/>
    <x v="0"/>
    <n v="1"/>
  </r>
  <r>
    <s v="Shivani Kapoor"/>
    <x v="10"/>
    <s v="HG-KS-Vikas Jangra"/>
    <n v="14"/>
    <n v="7"/>
    <n v="1"/>
    <n v="0"/>
    <m/>
    <n v="0"/>
    <n v="0"/>
    <n v="268"/>
    <n v="165"/>
    <d v="1900-01-03T00:33:55"/>
    <n v="1"/>
    <m/>
    <m/>
    <m/>
    <m/>
    <x v="1"/>
    <x v="0"/>
    <n v="0"/>
  </r>
  <r>
    <s v="Vikas Jangra"/>
    <x v="10"/>
    <s v="HG-KS-Vikas Jangra"/>
    <n v="0"/>
    <n v="0"/>
    <n v="0"/>
    <n v="0"/>
    <m/>
    <n v="0"/>
    <n v="0"/>
    <n v="8"/>
    <n v="136"/>
    <d v="1899-12-30T08:27:06"/>
    <n v="1"/>
    <m/>
    <m/>
    <m/>
    <m/>
    <x v="1"/>
    <x v="0"/>
    <n v="0"/>
  </r>
  <r>
    <s v="Akshayvar Singh"/>
    <x v="10"/>
    <s v="HG-KS-Vinay Pratap Singh"/>
    <n v="18"/>
    <n v="10"/>
    <n v="0"/>
    <n v="1"/>
    <m/>
    <n v="5.7228915662650606E-2"/>
    <n v="10"/>
    <n v="579"/>
    <n v="166"/>
    <d v="1900-01-03T09:18:43"/>
    <n v="1"/>
    <m/>
    <m/>
    <m/>
    <m/>
    <x v="1"/>
    <x v="2"/>
    <n v="0"/>
  </r>
  <r>
    <s v="Nitin Sharma"/>
    <x v="10"/>
    <s v="HG-KS-Vinay Pratap Singh"/>
    <n v="9"/>
    <n v="7"/>
    <n v="2"/>
    <n v="0"/>
    <m/>
    <n v="0"/>
    <n v="0"/>
    <n v="65"/>
    <n v="171"/>
    <d v="1900-01-03T14:37:42"/>
    <n v="1"/>
    <m/>
    <m/>
    <m/>
    <m/>
    <x v="1"/>
    <x v="2"/>
    <n v="0"/>
  </r>
  <r>
    <s v="Pulkit Vasdev"/>
    <x v="10"/>
    <s v="HG-KS-Vinay Pratap Singh"/>
    <n v="18"/>
    <n v="8"/>
    <n v="6"/>
    <n v="1"/>
    <m/>
    <n v="5.459770114942529E-2"/>
    <n v="8"/>
    <n v="787"/>
    <n v="174"/>
    <d v="1900-01-04T10:43:29"/>
    <n v="1"/>
    <m/>
    <m/>
    <m/>
    <m/>
    <x v="1"/>
    <x v="0"/>
    <n v="0"/>
  </r>
  <r>
    <s v="Vinay Pratap Singh"/>
    <x v="10"/>
    <s v="HG-KS-Vinay Pratap Singh"/>
    <n v="0"/>
    <n v="0"/>
    <n v="0"/>
    <n v="1"/>
    <m/>
    <n v="5.5555555555555552E-2"/>
    <n v="0"/>
    <n v="3"/>
    <n v="171"/>
    <d v="1899-12-31T02:50:29"/>
    <n v="1"/>
    <m/>
    <m/>
    <m/>
    <m/>
    <x v="1"/>
    <x v="0"/>
    <n v="0"/>
  </r>
  <r>
    <s v="Vipin Singh"/>
    <x v="10"/>
    <s v="HG-KS-Vinay Pratap Singh"/>
    <n v="17"/>
    <n v="11"/>
    <n v="6"/>
    <n v="0"/>
    <m/>
    <n v="0"/>
    <n v="0"/>
    <n v="676"/>
    <n v="173"/>
    <d v="1900-01-04T11:48:29"/>
    <n v="1"/>
    <m/>
    <m/>
    <m/>
    <m/>
    <x v="1"/>
    <x v="0"/>
    <n v="3"/>
  </r>
  <r>
    <s v="Abhilekh Shukla"/>
    <x v="10"/>
    <s v="HG-KS-Vinay Pratap Singh"/>
    <n v="4"/>
    <n v="0"/>
    <n v="0"/>
    <n v="0"/>
    <m/>
    <n v="0"/>
    <n v="0"/>
    <n v="639"/>
    <n v="169"/>
    <d v="1900-01-04T13:10:18"/>
    <n v="1"/>
    <m/>
    <m/>
    <m/>
    <m/>
    <x v="1"/>
    <x v="0"/>
    <n v="0"/>
  </r>
  <r>
    <s v="Afifa Rehman"/>
    <x v="10"/>
    <s v="HG-KS-Vinay Pratap Singh"/>
    <n v="20"/>
    <n v="5"/>
    <n v="1"/>
    <n v="0"/>
    <m/>
    <n v="0"/>
    <n v="0"/>
    <n v="813"/>
    <n v="158"/>
    <d v="1900-01-04T11:09:01"/>
    <n v="1"/>
    <m/>
    <m/>
    <m/>
    <m/>
    <x v="1"/>
    <x v="0"/>
    <n v="0"/>
  </r>
  <r>
    <s v="Ashwin Sharma"/>
    <x v="10"/>
    <s v="HG-KS-Vinay Pratap Singh"/>
    <n v="10"/>
    <n v="5"/>
    <n v="1"/>
    <n v="0"/>
    <m/>
    <n v="0"/>
    <n v="0"/>
    <n v="627"/>
    <n v="171"/>
    <d v="1900-01-04T09:44:44"/>
    <n v="1"/>
    <m/>
    <m/>
    <m/>
    <m/>
    <x v="1"/>
    <x v="0"/>
    <n v="0"/>
  </r>
  <r>
    <s v="Akshara Parveen"/>
    <x v="10"/>
    <s v="HG-Vibhu Bhaskar"/>
    <n v="2"/>
    <n v="0"/>
    <n v="0"/>
    <n v="0"/>
    <m/>
    <n v="0"/>
    <n v="0"/>
    <n v="65"/>
    <n v="156"/>
    <d v="1900-01-02T06:21:46"/>
    <n v="1"/>
    <m/>
    <m/>
    <m/>
    <m/>
    <x v="1"/>
    <x v="2"/>
    <n v="0"/>
  </r>
  <r>
    <s v="Apoorva Verma"/>
    <x v="10"/>
    <s v="HG-Vibhu Bhaskar"/>
    <n v="8"/>
    <n v="4"/>
    <n v="0"/>
    <n v="0"/>
    <m/>
    <n v="0"/>
    <n v="0"/>
    <n v="275"/>
    <n v="147"/>
    <d v="1900-01-03T03:14:07"/>
    <n v="1"/>
    <m/>
    <m/>
    <m/>
    <m/>
    <x v="1"/>
    <x v="0"/>
    <n v="0"/>
  </r>
  <r>
    <s v="Darshna Somani"/>
    <x v="10"/>
    <s v="HG-Vibhu Bhaskar"/>
    <n v="8"/>
    <n v="6"/>
    <n v="0"/>
    <n v="0"/>
    <m/>
    <n v="0"/>
    <n v="0"/>
    <n v="218"/>
    <n v="164"/>
    <d v="1900-01-04T00:27:48"/>
    <n v="1"/>
    <m/>
    <m/>
    <m/>
    <m/>
    <x v="1"/>
    <x v="0"/>
    <n v="0"/>
  </r>
  <r>
    <s v="Akhil Pandey"/>
    <x v="10"/>
    <s v="HG-Vibhu Bhaskar"/>
    <n v="9"/>
    <n v="10"/>
    <n v="0"/>
    <n v="1"/>
    <m/>
    <n v="6.25E-2"/>
    <n v="10"/>
    <n v="12"/>
    <n v="152"/>
    <d v="1900-01-01T21:03:19"/>
    <n v="1"/>
    <m/>
    <m/>
    <m/>
    <m/>
    <x v="1"/>
    <x v="0"/>
    <n v="1"/>
  </r>
  <r>
    <s v="Dilip Kumar Singh Pal"/>
    <x v="10"/>
    <s v="HG-Vibhu Bhaskar"/>
    <n v="2"/>
    <n v="1"/>
    <n v="0"/>
    <n v="0"/>
    <m/>
    <n v="0"/>
    <n v="0"/>
    <n v="6"/>
    <n v="164"/>
    <d v="1900-01-01T12:11:47"/>
    <n v="1"/>
    <m/>
    <m/>
    <m/>
    <m/>
    <x v="1"/>
    <x v="0"/>
    <n v="2"/>
  </r>
  <r>
    <s v="Shubham Aggarwal"/>
    <x v="10"/>
    <s v="HG-Vibhu Bhaskar"/>
    <n v="13"/>
    <n v="6"/>
    <n v="0"/>
    <n v="0"/>
    <m/>
    <n v="0"/>
    <n v="0"/>
    <n v="376"/>
    <n v="180"/>
    <d v="1900-01-04T00:55:48"/>
    <n v="1"/>
    <m/>
    <m/>
    <m/>
    <m/>
    <x v="1"/>
    <x v="0"/>
    <n v="0"/>
  </r>
  <r>
    <s v="Gunjan Singh"/>
    <x v="10"/>
    <s v="HG-Vinit Kumar Roy"/>
    <n v="9"/>
    <n v="9"/>
    <n v="0"/>
    <n v="0"/>
    <m/>
    <n v="0"/>
    <n v="0"/>
    <n v="119"/>
    <n v="172"/>
    <d v="1900-01-03T17:58:56"/>
    <n v="1"/>
    <m/>
    <m/>
    <m/>
    <m/>
    <x v="1"/>
    <x v="0"/>
    <n v="1"/>
  </r>
  <r>
    <s v="Soumya Patra"/>
    <x v="10"/>
    <s v="HG-Vinit Kumar Roy"/>
    <n v="25"/>
    <n v="21"/>
    <n v="4"/>
    <n v="1"/>
    <m/>
    <n v="5.6886227544910184E-2"/>
    <n v="21"/>
    <n v="286"/>
    <n v="167"/>
    <d v="1900-01-03T17:32:12"/>
    <n v="1"/>
    <m/>
    <m/>
    <m/>
    <m/>
    <x v="0"/>
    <x v="0"/>
    <n v="1"/>
  </r>
  <r>
    <s v="Pradeep Kumar Sharma"/>
    <x v="10"/>
    <s v="HG-Vinit Kumar Roy"/>
    <n v="11"/>
    <n v="10"/>
    <n v="1"/>
    <n v="1"/>
    <m/>
    <n v="5.5882352941176466E-2"/>
    <n v="10"/>
    <n v="426"/>
    <n v="170"/>
    <d v="1900-01-04T03:19:25"/>
    <n v="1"/>
    <m/>
    <m/>
    <m/>
    <m/>
    <x v="1"/>
    <x v="1"/>
    <n v="0"/>
  </r>
  <r>
    <s v="Muskan Singh1"/>
    <x v="10"/>
    <s v="HG-Vinit Kumar Roy"/>
    <n v="19"/>
    <n v="17"/>
    <n v="1"/>
    <n v="0"/>
    <m/>
    <n v="0"/>
    <n v="0"/>
    <n v="652"/>
    <n v="151"/>
    <d v="1900-01-03T10:38:02"/>
    <n v="1"/>
    <m/>
    <m/>
    <m/>
    <m/>
    <x v="1"/>
    <x v="0"/>
    <n v="1"/>
  </r>
  <r>
    <s v="Ayushi Kaushik"/>
    <x v="11"/>
    <s v="MP-Amit Shroti"/>
    <n v="13"/>
    <n v="13"/>
    <n v="0"/>
    <n v="0"/>
    <m/>
    <n v="0"/>
    <n v="0"/>
    <n v="106"/>
    <n v="173"/>
    <d v="1900-01-03T21:26:46"/>
    <n v="1"/>
    <m/>
    <m/>
    <m/>
    <m/>
    <x v="2"/>
    <x v="3"/>
    <n v="0"/>
  </r>
  <r>
    <s v="Krishna Kumar Upadhyay"/>
    <x v="11"/>
    <s v="MP-Amit Shroti"/>
    <n v="16"/>
    <n v="16"/>
    <n v="0"/>
    <n v="0"/>
    <m/>
    <n v="0"/>
    <n v="0"/>
    <n v="355"/>
    <n v="171"/>
    <d v="1900-01-04T00:01:33"/>
    <n v="1"/>
    <m/>
    <m/>
    <m/>
    <m/>
    <x v="2"/>
    <x v="0"/>
    <n v="1"/>
  </r>
  <r>
    <s v="Naman Gupta"/>
    <x v="11"/>
    <s v="MP-Amit Shroti"/>
    <n v="0"/>
    <n v="0"/>
    <n v="0"/>
    <n v="1"/>
    <m/>
    <n v="5.3672316384180789E-2"/>
    <n v="0"/>
    <n v="2"/>
    <n v="177"/>
    <d v="1900-01-03T16:59:19"/>
    <n v="1"/>
    <m/>
    <m/>
    <m/>
    <m/>
    <x v="1"/>
    <x v="2"/>
    <n v="0"/>
  </r>
  <r>
    <s v="Pooja Kumari"/>
    <x v="11"/>
    <s v="MP-Amit Shroti"/>
    <n v="13"/>
    <n v="13"/>
    <n v="0"/>
    <n v="0"/>
    <m/>
    <n v="0"/>
    <n v="0"/>
    <n v="88"/>
    <n v="178"/>
    <d v="1900-01-04T05:04:22"/>
    <n v="1"/>
    <m/>
    <m/>
    <m/>
    <m/>
    <x v="0"/>
    <x v="0"/>
    <n v="0"/>
  </r>
  <r>
    <s v="Priyanshi Garg"/>
    <x v="11"/>
    <s v="MP-Amit Shroti"/>
    <n v="2"/>
    <n v="2"/>
    <n v="0"/>
    <n v="0"/>
    <m/>
    <n v="0"/>
    <n v="0"/>
    <n v="35"/>
    <n v="168"/>
    <d v="1899-12-31T17:12:44"/>
    <n v="1"/>
    <m/>
    <m/>
    <m/>
    <m/>
    <x v="0"/>
    <x v="2"/>
    <n v="0"/>
  </r>
  <r>
    <s v="Shubham Agarwal"/>
    <x v="11"/>
    <s v="MP-Amit Shroti"/>
    <n v="1"/>
    <n v="1"/>
    <n v="0"/>
    <n v="1"/>
    <m/>
    <n v="5.5555555555555552E-2"/>
    <n v="1"/>
    <n v="1"/>
    <n v="171"/>
    <d v="1900-01-01T22:42:34"/>
    <n v="1"/>
    <m/>
    <m/>
    <m/>
    <m/>
    <x v="1"/>
    <x v="0"/>
    <n v="0"/>
  </r>
  <r>
    <s v="Nitish Kumar"/>
    <x v="11"/>
    <s v="MP-Amit Shroti"/>
    <n v="7"/>
    <n v="7"/>
    <n v="0"/>
    <n v="0"/>
    <m/>
    <n v="0"/>
    <n v="0"/>
    <n v="60"/>
    <n v="157"/>
    <d v="1900-01-03T18:21:59"/>
    <n v="1"/>
    <m/>
    <m/>
    <m/>
    <m/>
    <x v="0"/>
    <x v="0"/>
    <n v="2"/>
  </r>
  <r>
    <s v="Karishma Bhadauriya"/>
    <x v="11"/>
    <s v="MP-Ashok Singh Chauhan"/>
    <n v="28"/>
    <n v="26"/>
    <n v="0"/>
    <n v="0"/>
    <m/>
    <n v="0"/>
    <n v="0"/>
    <n v="364"/>
    <n v="169"/>
    <d v="1900-01-04T07:04:19"/>
    <n v="1"/>
    <m/>
    <m/>
    <m/>
    <m/>
    <x v="1"/>
    <x v="2"/>
    <n v="1"/>
  </r>
  <r>
    <s v="Ashok Singh Chauhan"/>
    <x v="11"/>
    <s v="MP-Manish"/>
    <n v="0"/>
    <n v="0"/>
    <n v="0"/>
    <n v="0"/>
    <m/>
    <n v="0"/>
    <n v="0"/>
    <n v="1"/>
    <n v="167"/>
    <d v="1900-01-01T09:49:22"/>
    <n v="1"/>
    <m/>
    <m/>
    <m/>
    <m/>
    <x v="0"/>
    <x v="0"/>
    <n v="0"/>
  </r>
  <r>
    <s v="Saurabh Maheshwari"/>
    <x v="11"/>
    <s v="MP-Manish"/>
    <n v="0"/>
    <n v="0"/>
    <n v="0"/>
    <n v="0"/>
    <m/>
    <n v="0"/>
    <n v="0"/>
    <n v="0"/>
    <n v="131"/>
    <d v="1899-12-30T03:31:45"/>
    <n v="1"/>
    <m/>
    <m/>
    <m/>
    <m/>
    <x v="4"/>
    <x v="5"/>
    <n v="0"/>
  </r>
  <r>
    <s v="Isha Vashisth"/>
    <x v="11"/>
    <s v="MP-Mohit Saini"/>
    <n v="15"/>
    <n v="9"/>
    <n v="5"/>
    <n v="0"/>
    <m/>
    <n v="0"/>
    <n v="0"/>
    <n v="170"/>
    <n v="167"/>
    <d v="1900-01-03T18:07:46"/>
    <n v="1"/>
    <m/>
    <m/>
    <m/>
    <m/>
    <x v="1"/>
    <x v="0"/>
    <n v="0"/>
  </r>
  <r>
    <s v="Praveen Dixit"/>
    <x v="11"/>
    <s v="MP-Mohit Saini"/>
    <n v="11"/>
    <n v="6"/>
    <n v="0"/>
    <n v="0"/>
    <m/>
    <n v="0"/>
    <n v="0"/>
    <n v="312"/>
    <n v="147"/>
    <d v="1900-01-03T22:01:55"/>
    <n v="1"/>
    <m/>
    <m/>
    <m/>
    <m/>
    <x v="1"/>
    <x v="0"/>
    <n v="0"/>
  </r>
  <r>
    <s v="Kavish Saxena"/>
    <x v="11"/>
    <s v="MP-Mohit Saini"/>
    <n v="10"/>
    <n v="4"/>
    <n v="0"/>
    <n v="0"/>
    <m/>
    <n v="0"/>
    <n v="0"/>
    <n v="352"/>
    <n v="173"/>
    <d v="1900-01-03T20:57:04"/>
    <n v="1"/>
    <m/>
    <m/>
    <m/>
    <m/>
    <x v="1"/>
    <x v="0"/>
    <n v="0"/>
  </r>
  <r>
    <s v="Mahadev Singh Bisht"/>
    <x v="11"/>
    <s v="MP-SM-Mahadev Bisht"/>
    <n v="9"/>
    <n v="9"/>
    <n v="0"/>
    <n v="1"/>
    <m/>
    <n v="5.2197802197802193E-2"/>
    <n v="9"/>
    <n v="71"/>
    <n v="182"/>
    <d v="1900-01-03T22:52:08"/>
    <n v="1"/>
    <m/>
    <m/>
    <m/>
    <m/>
    <x v="1"/>
    <x v="0"/>
    <n v="2"/>
  </r>
  <r>
    <s v="Chandan Kumar1"/>
    <x v="11"/>
    <s v="MP-SM-Mahadev Bisht"/>
    <n v="0"/>
    <n v="0"/>
    <n v="0"/>
    <n v="0"/>
    <m/>
    <n v="0"/>
    <n v="0"/>
    <n v="0"/>
    <n v="158"/>
    <d v="1899-12-30T00:00:00"/>
    <n v="1"/>
    <m/>
    <m/>
    <m/>
    <m/>
    <x v="1"/>
    <x v="0"/>
    <n v="1"/>
  </r>
  <r>
    <s v="Aman Shekhar Sachan"/>
    <x v="11"/>
    <s v="MP-SM-Mahadev Bisht"/>
    <n v="13"/>
    <n v="13"/>
    <n v="6"/>
    <n v="1"/>
    <m/>
    <n v="5.3672316384180789E-2"/>
    <n v="13"/>
    <n v="56"/>
    <n v="177"/>
    <d v="1900-01-04T01:29:49"/>
    <n v="1"/>
    <m/>
    <m/>
    <m/>
    <m/>
    <x v="1"/>
    <x v="0"/>
    <n v="1"/>
  </r>
  <r>
    <s v="Krishna Singh1"/>
    <x v="11"/>
    <s v="MP-SM-Mahadev Bisht"/>
    <n v="24"/>
    <n v="24"/>
    <n v="2"/>
    <n v="2"/>
    <m/>
    <n v="0.10857142857142857"/>
    <n v="12"/>
    <n v="342"/>
    <n v="175"/>
    <d v="1900-01-04T07:24:10"/>
    <n v="1"/>
    <m/>
    <m/>
    <m/>
    <m/>
    <x v="2"/>
    <x v="0"/>
    <n v="0"/>
  </r>
  <r>
    <s v="Ankur Kumar1"/>
    <x v="11"/>
    <s v="MP-SM-Prashant Singh"/>
    <n v="17"/>
    <n v="17"/>
    <n v="0"/>
    <n v="0"/>
    <m/>
    <n v="0"/>
    <n v="0"/>
    <n v="132"/>
    <n v="130"/>
    <d v="1900-01-04T07:26:07"/>
    <n v="1"/>
    <m/>
    <m/>
    <m/>
    <m/>
    <x v="1"/>
    <x v="1"/>
    <n v="0"/>
  </r>
  <r>
    <s v="Aamir Khan"/>
    <x v="11"/>
    <s v="MP-SM-Prashant Singh"/>
    <n v="9"/>
    <n v="9"/>
    <n v="3"/>
    <n v="0"/>
    <m/>
    <n v="0"/>
    <n v="0"/>
    <n v="52"/>
    <n v="170"/>
    <d v="1900-01-02T23:59:34"/>
    <n v="1"/>
    <m/>
    <m/>
    <m/>
    <m/>
    <x v="1"/>
    <x v="0"/>
    <n v="0"/>
  </r>
  <r>
    <s v="Prashant Singh"/>
    <x v="11"/>
    <s v="MP-SM-Prashant Singh"/>
    <n v="6"/>
    <n v="6"/>
    <n v="0"/>
    <n v="1"/>
    <m/>
    <n v="5.4285714285714284E-2"/>
    <n v="6"/>
    <n v="16"/>
    <n v="175"/>
    <d v="1900-01-03T12:34:27"/>
    <n v="1"/>
    <m/>
    <m/>
    <m/>
    <m/>
    <x v="0"/>
    <x v="0"/>
    <n v="0"/>
  </r>
  <r>
    <s v="Aayush Bhardwaj"/>
    <x v="12"/>
    <s v="RJ-MP-Aayush Bhardwaj"/>
    <n v="0"/>
    <n v="0"/>
    <n v="0"/>
    <n v="0"/>
    <m/>
    <n v="0"/>
    <n v="0"/>
    <n v="9"/>
    <n v="169"/>
    <d v="1900-01-01T15:22:40"/>
    <n v="1"/>
    <m/>
    <m/>
    <m/>
    <m/>
    <x v="1"/>
    <x v="0"/>
    <n v="1"/>
  </r>
  <r>
    <s v="Kumar Nandan"/>
    <x v="12"/>
    <s v="RJ-MP-Aayush Bhardwaj"/>
    <n v="16"/>
    <n v="15"/>
    <n v="0"/>
    <n v="1"/>
    <m/>
    <n v="5.7228915662650606E-2"/>
    <n v="15"/>
    <n v="459"/>
    <n v="166"/>
    <d v="1900-01-04T18:26:26"/>
    <n v="1"/>
    <m/>
    <m/>
    <m/>
    <m/>
    <x v="0"/>
    <x v="0"/>
    <n v="1"/>
  </r>
  <r>
    <s v="Lovleen Jaswal"/>
    <x v="12"/>
    <s v="RJ-MP-Aayush Bhardwaj"/>
    <n v="21"/>
    <n v="14"/>
    <n v="1"/>
    <n v="0"/>
    <m/>
    <n v="0"/>
    <n v="0"/>
    <n v="322"/>
    <n v="164"/>
    <d v="1900-01-03T21:04:22"/>
    <n v="1"/>
    <m/>
    <m/>
    <m/>
    <m/>
    <x v="1"/>
    <x v="0"/>
    <n v="0"/>
  </r>
  <r>
    <s v="Saurabh Kaul"/>
    <x v="12"/>
    <s v="RJ-MP-Aayush Bhardwaj"/>
    <n v="9"/>
    <n v="6"/>
    <n v="0"/>
    <n v="1"/>
    <m/>
    <n v="5.6547619047619041E-2"/>
    <n v="6"/>
    <n v="351"/>
    <n v="168"/>
    <d v="1900-01-03T21:50:07"/>
    <n v="1"/>
    <m/>
    <m/>
    <m/>
    <m/>
    <x v="1"/>
    <x v="0"/>
    <n v="1"/>
  </r>
  <r>
    <s v="Arun Mohan"/>
    <x v="12"/>
    <s v="RJ-MP-Aayush Bhardwaj"/>
    <n v="9"/>
    <n v="6"/>
    <n v="0"/>
    <n v="0"/>
    <m/>
    <n v="0"/>
    <n v="0"/>
    <n v="201"/>
    <n v="156"/>
    <d v="1900-01-03T20:18:46"/>
    <n v="1"/>
    <m/>
    <m/>
    <m/>
    <m/>
    <x v="1"/>
    <x v="2"/>
    <n v="0"/>
  </r>
  <r>
    <s v="Ankit Jangra"/>
    <x v="12"/>
    <s v="RJ-MP-Aayush Bhardwaj"/>
    <n v="16"/>
    <n v="9"/>
    <n v="1"/>
    <n v="1"/>
    <m/>
    <n v="5.9375000000000004E-2"/>
    <n v="9"/>
    <n v="286"/>
    <n v="160"/>
    <d v="1900-01-04T04:24:08"/>
    <n v="1"/>
    <m/>
    <m/>
    <m/>
    <m/>
    <x v="1"/>
    <x v="2"/>
    <n v="0"/>
  </r>
  <r>
    <s v="Dibya Singh"/>
    <x v="12"/>
    <s v="RJ-MP-Aayush Bhardwaj"/>
    <n v="6"/>
    <n v="5"/>
    <n v="1"/>
    <n v="0"/>
    <m/>
    <n v="0"/>
    <n v="0"/>
    <n v="415"/>
    <n v="159"/>
    <d v="1900-01-01T04:08:45"/>
    <n v="1"/>
    <m/>
    <m/>
    <m/>
    <m/>
    <x v="1"/>
    <x v="0"/>
    <n v="0"/>
  </r>
  <r>
    <s v="Mohd Abid Rafie"/>
    <x v="12"/>
    <s v="RJ-MP-Aayush Bhardwaj"/>
    <n v="13"/>
    <n v="6"/>
    <n v="1"/>
    <n v="1"/>
    <m/>
    <n v="6.0126582278481014E-2"/>
    <n v="6"/>
    <n v="375"/>
    <n v="158"/>
    <d v="1900-01-03T02:39:18"/>
    <n v="1"/>
    <m/>
    <m/>
    <m/>
    <m/>
    <x v="1"/>
    <x v="0"/>
    <n v="1"/>
  </r>
  <r>
    <s v="Pawan Kumar Sahu"/>
    <x v="12"/>
    <s v="RJ-MP-Aayush Bhardwaj"/>
    <n v="7"/>
    <n v="3"/>
    <n v="0"/>
    <n v="0"/>
    <m/>
    <n v="0"/>
    <n v="0"/>
    <n v="505"/>
    <n v="176"/>
    <d v="1900-01-03T23:22:01"/>
    <n v="1"/>
    <m/>
    <m/>
    <m/>
    <m/>
    <x v="1"/>
    <x v="0"/>
    <n v="0"/>
  </r>
  <r>
    <s v="Abhishek Singh2"/>
    <x v="12"/>
    <s v="RJ-SS-Abhishek Singh2"/>
    <n v="0"/>
    <n v="0"/>
    <n v="0"/>
    <n v="0"/>
    <m/>
    <n v="0"/>
    <n v="0"/>
    <n v="33"/>
    <n v="166"/>
    <d v="1900-01-03T07:33:39"/>
    <n v="1"/>
    <m/>
    <m/>
    <m/>
    <m/>
    <x v="0"/>
    <x v="0"/>
    <n v="0"/>
  </r>
  <r>
    <s v="Mohit Rajput"/>
    <x v="12"/>
    <s v="RJ-SS-Abhishek Singh2"/>
    <n v="10"/>
    <n v="11"/>
    <n v="0"/>
    <n v="0"/>
    <m/>
    <n v="0"/>
    <n v="0"/>
    <n v="1028"/>
    <n v="167"/>
    <d v="1900-01-04T13:46:49"/>
    <n v="1"/>
    <m/>
    <m/>
    <m/>
    <m/>
    <x v="1"/>
    <x v="0"/>
    <n v="0"/>
  </r>
  <r>
    <s v="Nishant Sharma"/>
    <x v="12"/>
    <s v="RJ-SS-Abhishek Singh2"/>
    <n v="10"/>
    <n v="10"/>
    <n v="1"/>
    <n v="1"/>
    <m/>
    <n v="6.5517241379310337E-2"/>
    <n v="10"/>
    <n v="387"/>
    <n v="145"/>
    <d v="1900-01-02T23:50:25"/>
    <n v="1"/>
    <m/>
    <m/>
    <m/>
    <m/>
    <x v="1"/>
    <x v="0"/>
    <n v="0"/>
  </r>
  <r>
    <s v="Manisha Srivastava"/>
    <x v="12"/>
    <s v="RJ-SS-Pankaj Verma"/>
    <n v="12"/>
    <n v="11"/>
    <n v="0"/>
    <n v="0"/>
    <m/>
    <n v="0"/>
    <n v="0"/>
    <n v="1150"/>
    <n v="165"/>
    <d v="1900-01-04T08:36:20"/>
    <n v="1"/>
    <m/>
    <m/>
    <m/>
    <m/>
    <x v="1"/>
    <x v="0"/>
    <n v="0"/>
  </r>
  <r>
    <s v="Pankaj Verma"/>
    <x v="12"/>
    <s v="RJ-SS-Pankaj Verma"/>
    <n v="8"/>
    <n v="7"/>
    <n v="1"/>
    <n v="0"/>
    <m/>
    <n v="0"/>
    <n v="0"/>
    <n v="22"/>
    <n v="169"/>
    <d v="1900-01-04T09:12:20"/>
    <n v="1"/>
    <m/>
    <m/>
    <m/>
    <m/>
    <x v="1"/>
    <x v="0"/>
    <n v="0"/>
  </r>
  <r>
    <s v="Sidharth Kumar"/>
    <x v="12"/>
    <s v="RJ-SS-Pankaj Verma"/>
    <n v="22"/>
    <n v="15"/>
    <n v="2"/>
    <n v="0"/>
    <m/>
    <n v="0"/>
    <n v="0"/>
    <n v="438"/>
    <n v="175"/>
    <d v="1900-01-03T12:17:35"/>
    <n v="1"/>
    <m/>
    <m/>
    <m/>
    <m/>
    <x v="1"/>
    <x v="0"/>
    <n v="1"/>
  </r>
  <r>
    <s v="Ankita Singh"/>
    <x v="12"/>
    <s v="RJ-TM-HG-Ankita Singh"/>
    <n v="8"/>
    <n v="5"/>
    <n v="1"/>
    <n v="0"/>
    <m/>
    <n v="0"/>
    <n v="0"/>
    <n v="274"/>
    <n v="177"/>
    <d v="1900-01-04T04:42:52"/>
    <n v="1"/>
    <m/>
    <m/>
    <m/>
    <m/>
    <x v="1"/>
    <x v="0"/>
    <n v="0"/>
  </r>
  <r>
    <s v="Chalsee Siwatch"/>
    <x v="12"/>
    <s v="RJ-TM-HG-Ankita Singh"/>
    <n v="11"/>
    <n v="7"/>
    <n v="6"/>
    <n v="0"/>
    <m/>
    <n v="0"/>
    <n v="0"/>
    <n v="542"/>
    <n v="167"/>
    <d v="1900-01-03T16:13:38"/>
    <n v="1"/>
    <m/>
    <m/>
    <m/>
    <m/>
    <x v="1"/>
    <x v="0"/>
    <n v="0"/>
  </r>
  <r>
    <s v="Simran Wadhwa"/>
    <x v="12"/>
    <s v="RJ-TM-HG-Ankita Singh"/>
    <n v="11"/>
    <n v="4"/>
    <n v="3"/>
    <n v="0"/>
    <m/>
    <n v="0"/>
    <n v="0"/>
    <n v="818"/>
    <n v="170"/>
    <d v="1900-01-04T12:02:01"/>
    <n v="1"/>
    <m/>
    <m/>
    <m/>
    <m/>
    <x v="1"/>
    <x v="0"/>
    <n v="1"/>
  </r>
  <r>
    <s v="Bharath Shaj"/>
    <x v="12"/>
    <s v="RJ-TM-HG-Ankita Singh"/>
    <n v="17"/>
    <n v="12"/>
    <n v="4"/>
    <n v="0"/>
    <m/>
    <n v="0"/>
    <n v="0"/>
    <n v="382"/>
    <n v="172"/>
    <d v="1900-01-04T05:35:26"/>
    <n v="1"/>
    <m/>
    <m/>
    <m/>
    <m/>
    <x v="1"/>
    <x v="0"/>
    <n v="0"/>
  </r>
  <r>
    <s v="Adarsh Bila"/>
    <x v="13"/>
    <s v="SA-DK-Kushagra Bhatnagar"/>
    <n v="8"/>
    <n v="8"/>
    <n v="0"/>
    <n v="0"/>
    <m/>
    <n v="0"/>
    <n v="0"/>
    <n v="679"/>
    <n v="167"/>
    <d v="1900-01-02T21:19:39"/>
    <n v="1"/>
    <m/>
    <m/>
    <m/>
    <m/>
    <x v="1"/>
    <x v="0"/>
    <n v="1"/>
  </r>
  <r>
    <s v="Kushagra Bhatnagar"/>
    <x v="13"/>
    <s v="SA-DK-Kushagra Bhatnagar"/>
    <n v="0"/>
    <n v="1"/>
    <n v="0"/>
    <n v="0"/>
    <m/>
    <n v="0"/>
    <n v="0"/>
    <n v="3"/>
    <n v="94"/>
    <d v="1899-12-30T01:01:52"/>
    <n v="1"/>
    <m/>
    <m/>
    <m/>
    <m/>
    <x v="1"/>
    <x v="0"/>
    <n v="0"/>
  </r>
  <r>
    <s v="Deepika Tiwari"/>
    <x v="13"/>
    <s v="SA-DK-Kushagra Bhatnagar"/>
    <n v="3"/>
    <n v="2"/>
    <n v="2"/>
    <n v="0"/>
    <m/>
    <n v="0"/>
    <n v="0"/>
    <n v="728"/>
    <n v="154"/>
    <d v="1899-12-30T00:00:00"/>
    <n v="1"/>
    <m/>
    <m/>
    <m/>
    <m/>
    <x v="1"/>
    <x v="0"/>
    <n v="0"/>
  </r>
  <r>
    <s v="Himanshu Pateriya"/>
    <x v="13"/>
    <s v="SA-DK-Kushagra Bhatnagar"/>
    <n v="0"/>
    <n v="0"/>
    <n v="0"/>
    <n v="0"/>
    <m/>
    <n v="0"/>
    <n v="0"/>
    <n v="60"/>
    <n v="156"/>
    <d v="1899-12-30T07:55:37"/>
    <n v="1"/>
    <m/>
    <m/>
    <m/>
    <m/>
    <x v="2"/>
    <x v="0"/>
    <n v="2"/>
  </r>
  <r>
    <s v="Jay Guru"/>
    <x v="13"/>
    <s v="SA-DK-Kushagra Bhatnagar"/>
    <n v="2"/>
    <n v="3"/>
    <n v="0"/>
    <n v="0"/>
    <m/>
    <n v="0"/>
    <n v="0"/>
    <n v="841"/>
    <n v="67"/>
    <d v="1900-01-01T11:09:42"/>
    <n v="1"/>
    <m/>
    <m/>
    <m/>
    <m/>
    <x v="1"/>
    <x v="0"/>
    <n v="0"/>
  </r>
  <r>
    <s v="Pooja Gupta"/>
    <x v="13"/>
    <s v="SA-DK-Kushagra Bhatnagar"/>
    <n v="9"/>
    <n v="8"/>
    <n v="1"/>
    <n v="0"/>
    <m/>
    <n v="0"/>
    <n v="0"/>
    <n v="893"/>
    <n v="57"/>
    <d v="1900-01-04T10:06:30"/>
    <n v="1"/>
    <m/>
    <m/>
    <m/>
    <m/>
    <x v="1"/>
    <x v="0"/>
    <n v="0"/>
  </r>
  <r>
    <s v="Arjun Dubey"/>
    <x v="13"/>
    <s v="SA-DK-Kushagra Bhatnagar"/>
    <n v="1"/>
    <n v="0"/>
    <n v="0"/>
    <n v="0"/>
    <m/>
    <n v="0"/>
    <n v="0"/>
    <n v="530"/>
    <n v="55"/>
    <d v="1900-01-03T07:44:37"/>
    <n v="1"/>
    <m/>
    <m/>
    <m/>
    <m/>
    <x v="1"/>
    <x v="0"/>
    <n v="0"/>
  </r>
  <r>
    <s v="Danish Ahmed"/>
    <x v="13"/>
    <s v="SA-DK-Kushagra Bhatnagar"/>
    <n v="2"/>
    <n v="2"/>
    <n v="0"/>
    <n v="0"/>
    <m/>
    <n v="0"/>
    <n v="0"/>
    <n v="960"/>
    <n v="21"/>
    <d v="1900-01-03T21:17:37"/>
    <n v="1"/>
    <m/>
    <m/>
    <m/>
    <m/>
    <x v="1"/>
    <x v="0"/>
    <n v="0"/>
  </r>
  <r>
    <s v="Boppana Pratyusha"/>
    <x v="13"/>
    <s v="SA-DK-Pratyusha Boppana"/>
    <n v="0"/>
    <n v="0"/>
    <n v="0"/>
    <n v="0"/>
    <m/>
    <n v="0"/>
    <n v="0"/>
    <n v="33"/>
    <n v="165"/>
    <d v="1900-01-01T20:40:42"/>
    <n v="1"/>
    <m/>
    <m/>
    <m/>
    <m/>
    <x v="1"/>
    <x v="0"/>
    <n v="0"/>
  </r>
  <r>
    <s v="Muskan Wadhva"/>
    <x v="13"/>
    <s v="SA-DK-Pratyusha Boppana"/>
    <n v="20"/>
    <n v="20"/>
    <n v="0"/>
    <n v="1"/>
    <m/>
    <n v="5.459770114942529E-2"/>
    <n v="20"/>
    <n v="331"/>
    <n v="174"/>
    <d v="1900-01-03T18:52:50"/>
    <n v="1"/>
    <m/>
    <m/>
    <m/>
    <m/>
    <x v="0"/>
    <x v="1"/>
    <n v="1"/>
  </r>
  <r>
    <s v="Priya Gupta"/>
    <x v="13"/>
    <s v="SA-DK-Pratyusha Boppana"/>
    <n v="5"/>
    <n v="5"/>
    <n v="0"/>
    <n v="0"/>
    <m/>
    <n v="0"/>
    <n v="0"/>
    <n v="294"/>
    <n v="169"/>
    <d v="1900-01-04T03:58:41"/>
    <n v="1"/>
    <m/>
    <m/>
    <m/>
    <m/>
    <x v="0"/>
    <x v="1"/>
    <n v="0"/>
  </r>
  <r>
    <s v="Pragya Upadhyay"/>
    <x v="13"/>
    <s v="SA-DK-Pratyusha Boppana"/>
    <n v="2"/>
    <n v="2"/>
    <n v="0"/>
    <n v="0"/>
    <m/>
    <n v="0"/>
    <n v="0"/>
    <n v="343"/>
    <n v="165"/>
    <d v="1900-01-03T10:25:47"/>
    <n v="1"/>
    <m/>
    <m/>
    <m/>
    <m/>
    <x v="1"/>
    <x v="2"/>
    <n v="1"/>
  </r>
  <r>
    <s v="Baljeet Singh Bedi"/>
    <x v="13"/>
    <s v="SA-TM-CK-BB-Suraj Gupta"/>
    <n v="0"/>
    <n v="0"/>
    <n v="0"/>
    <n v="0"/>
    <m/>
    <n v="0"/>
    <n v="0"/>
    <n v="0"/>
    <n v="60"/>
    <d v="1899-12-30T00:40:46"/>
    <n v="1"/>
    <m/>
    <m/>
    <m/>
    <m/>
    <x v="1"/>
    <x v="0"/>
    <n v="0"/>
  </r>
  <r>
    <s v="Kunal Kumar"/>
    <x v="13"/>
    <s v="SA-TM-CK-BB-Suraj Gupta"/>
    <n v="9"/>
    <n v="8"/>
    <n v="0"/>
    <n v="0"/>
    <m/>
    <n v="0"/>
    <n v="0"/>
    <n v="331"/>
    <n v="168"/>
    <d v="1900-01-03T23:19:42"/>
    <n v="1"/>
    <m/>
    <m/>
    <m/>
    <m/>
    <x v="1"/>
    <x v="0"/>
    <n v="0"/>
  </r>
  <r>
    <s v="Avanish Kumar Pandey"/>
    <x v="13"/>
    <s v="SA-TM-CK-BB-Suraj Gupta"/>
    <n v="14"/>
    <n v="10"/>
    <n v="3"/>
    <n v="0"/>
    <m/>
    <n v="0"/>
    <n v="0"/>
    <n v="142"/>
    <n v="169"/>
    <d v="1900-01-02T16:37:19"/>
    <n v="1"/>
    <m/>
    <m/>
    <m/>
    <m/>
    <x v="1"/>
    <x v="0"/>
    <n v="0"/>
  </r>
  <r>
    <s v="Raj Singh"/>
    <x v="13"/>
    <s v="SA-TM-CK-NK-Harekrishan"/>
    <n v="14"/>
    <n v="11"/>
    <n v="2"/>
    <n v="0"/>
    <m/>
    <n v="0"/>
    <n v="0"/>
    <n v="562"/>
    <n v="172"/>
    <d v="1900-01-04T07:04:36"/>
    <n v="1"/>
    <m/>
    <m/>
    <m/>
    <m/>
    <x v="0"/>
    <x v="0"/>
    <n v="0"/>
  </r>
  <r>
    <s v="Rahul Kumar"/>
    <x v="13"/>
    <s v="SA-TM-CK-NK-Harekrishan"/>
    <n v="22"/>
    <n v="22"/>
    <n v="3"/>
    <n v="1"/>
    <m/>
    <n v="6.2091503267973858E-2"/>
    <n v="22"/>
    <n v="86"/>
    <n v="153"/>
    <d v="1900-01-02T21:29:14"/>
    <n v="1"/>
    <m/>
    <m/>
    <m/>
    <m/>
    <x v="1"/>
    <x v="2"/>
    <n v="0"/>
  </r>
  <r>
    <s v="Kajal Singh"/>
    <x v="13"/>
    <s v="SA-TM-CK-NK-Harekrishan"/>
    <n v="18"/>
    <n v="14"/>
    <n v="5"/>
    <n v="2"/>
    <m/>
    <n v="0.10857142857142857"/>
    <n v="7"/>
    <n v="563"/>
    <n v="175"/>
    <d v="1900-01-03T15:35:02"/>
    <n v="1"/>
    <m/>
    <m/>
    <m/>
    <m/>
    <x v="0"/>
    <x v="0"/>
    <n v="1"/>
  </r>
  <r>
    <s v="Kumar Harekrishan"/>
    <x v="13"/>
    <s v="SA-TM-CK-NK-Harekrishan"/>
    <n v="0"/>
    <n v="0"/>
    <n v="0"/>
    <n v="0"/>
    <m/>
    <n v="0"/>
    <n v="0"/>
    <n v="4"/>
    <n v="166"/>
    <d v="1900-01-03T18:49:28"/>
    <n v="1"/>
    <m/>
    <m/>
    <m/>
    <m/>
    <x v="1"/>
    <x v="0"/>
    <n v="0"/>
  </r>
  <r>
    <s v="Poonam Kumari"/>
    <x v="13"/>
    <s v="SA-TM-CK-NK-Harekrishan"/>
    <n v="25"/>
    <n v="21"/>
    <n v="7"/>
    <n v="1"/>
    <m/>
    <n v="5.4285714285714284E-2"/>
    <n v="21"/>
    <n v="172"/>
    <n v="175"/>
    <d v="1900-01-04T07:18:00"/>
    <n v="1"/>
    <m/>
    <m/>
    <m/>
    <m/>
    <x v="1"/>
    <x v="0"/>
    <n v="0"/>
  </r>
  <r>
    <s v="Saindhav Kumar"/>
    <x v="13"/>
    <s v="SA-TM-CK-NK-Harekrishan"/>
    <n v="22"/>
    <n v="21"/>
    <n v="3"/>
    <n v="0"/>
    <m/>
    <n v="0"/>
    <n v="0"/>
    <n v="229"/>
    <n v="178"/>
    <d v="1900-01-04T01:54:30"/>
    <n v="1"/>
    <m/>
    <m/>
    <m/>
    <m/>
    <x v="1"/>
    <x v="0"/>
    <n v="1"/>
  </r>
  <r>
    <s v="Sachin Kumar Singh"/>
    <x v="13"/>
    <s v="SA-TM-CK-NK-Harekrishan"/>
    <n v="31"/>
    <n v="23"/>
    <n v="8"/>
    <n v="0"/>
    <m/>
    <n v="0"/>
    <n v="0"/>
    <n v="665"/>
    <n v="173"/>
    <d v="1900-01-04T10:48:09"/>
    <n v="1"/>
    <m/>
    <m/>
    <m/>
    <m/>
    <x v="1"/>
    <x v="0"/>
    <n v="0"/>
  </r>
  <r>
    <s v="Manish Kumar Choubey"/>
    <x v="13"/>
    <s v="SA-TM-CK-NK-Harekrishan"/>
    <n v="20"/>
    <n v="19"/>
    <n v="2"/>
    <n v="0"/>
    <m/>
    <n v="0"/>
    <n v="0"/>
    <n v="453"/>
    <n v="173"/>
    <d v="1900-01-03T15:41:32"/>
    <n v="1"/>
    <m/>
    <m/>
    <m/>
    <m/>
    <x v="1"/>
    <x v="0"/>
    <n v="0"/>
  </r>
  <r>
    <s v="Abhishek Mishra"/>
    <x v="13"/>
    <s v="SA-TM-CK-Suraj Gupta"/>
    <n v="10"/>
    <n v="8"/>
    <n v="1"/>
    <n v="0"/>
    <m/>
    <n v="0"/>
    <n v="0"/>
    <n v="321"/>
    <n v="161"/>
    <d v="1900-01-02T13:24:14"/>
    <n v="1"/>
    <m/>
    <m/>
    <m/>
    <m/>
    <x v="2"/>
    <x v="0"/>
    <n v="0"/>
  </r>
  <r>
    <s v="Jatin Raj"/>
    <x v="13"/>
    <s v="SA-TM-CK-Vishal Sharma"/>
    <n v="26"/>
    <n v="22"/>
    <n v="6"/>
    <n v="1"/>
    <m/>
    <n v="5.7228915662650606E-2"/>
    <n v="22"/>
    <n v="179"/>
    <n v="166"/>
    <d v="1900-01-03T22:34:55"/>
    <n v="1"/>
    <m/>
    <m/>
    <m/>
    <m/>
    <x v="1"/>
    <x v="0"/>
    <n v="0"/>
  </r>
  <r>
    <s v="Vishal Sharma"/>
    <x v="13"/>
    <s v="SA-TM-CK-Vishal Sharma"/>
    <n v="0"/>
    <n v="0"/>
    <n v="0"/>
    <n v="0"/>
    <m/>
    <n v="0"/>
    <n v="0"/>
    <n v="0"/>
    <n v="79"/>
    <d v="1899-12-30T01:43:53"/>
    <n v="1"/>
    <m/>
    <m/>
    <m/>
    <m/>
    <x v="1"/>
    <x v="0"/>
    <n v="0"/>
  </r>
  <r>
    <s v="Abhinav Yadav"/>
    <x v="13"/>
    <s v="SA-TM-CK-Vishal Sharma"/>
    <n v="23"/>
    <n v="21"/>
    <n v="7"/>
    <n v="1"/>
    <m/>
    <n v="6.1688311688311695E-2"/>
    <n v="21"/>
    <n v="315"/>
    <n v="154"/>
    <d v="1900-01-03T18:39:10"/>
    <n v="1"/>
    <m/>
    <m/>
    <m/>
    <m/>
    <x v="1"/>
    <x v="0"/>
    <n v="2"/>
  </r>
  <r>
    <s v="Ashish Yadav"/>
    <x v="13"/>
    <s v="SA-TM-VK-Ashish Yadav"/>
    <n v="4"/>
    <n v="4"/>
    <n v="0"/>
    <n v="0"/>
    <m/>
    <n v="0"/>
    <n v="0"/>
    <n v="20"/>
    <n v="153"/>
    <d v="1900-01-02T16:15:15"/>
    <n v="1"/>
    <m/>
    <m/>
    <m/>
    <m/>
    <x v="1"/>
    <x v="0"/>
    <n v="0"/>
  </r>
  <r>
    <s v="Bhavya Sharma"/>
    <x v="13"/>
    <s v="SA-TM-VK-Ashish Yadav"/>
    <n v="6"/>
    <n v="5"/>
    <n v="0"/>
    <n v="0"/>
    <m/>
    <n v="0"/>
    <n v="0"/>
    <n v="424"/>
    <n v="164"/>
    <d v="1900-01-03T11:42:43"/>
    <n v="1"/>
    <m/>
    <m/>
    <m/>
    <m/>
    <x v="1"/>
    <x v="0"/>
    <n v="0"/>
  </r>
  <r>
    <s v="Ibran Ahmad"/>
    <x v="13"/>
    <s v="SA-TM-VK-Ashish Yadav"/>
    <n v="4"/>
    <n v="3"/>
    <n v="0"/>
    <n v="0"/>
    <m/>
    <n v="0"/>
    <n v="0"/>
    <n v="745"/>
    <n v="164"/>
    <d v="1900-01-03T23:07:43"/>
    <n v="1"/>
    <m/>
    <m/>
    <m/>
    <m/>
    <x v="1"/>
    <x v="0"/>
    <n v="0"/>
  </r>
  <r>
    <s v="Priya Pujara"/>
    <x v="13"/>
    <s v="SA-TM-VK-Priya Pujara"/>
    <n v="5"/>
    <n v="5"/>
    <n v="2"/>
    <n v="0"/>
    <m/>
    <n v="0"/>
    <n v="0"/>
    <n v="41"/>
    <n v="165"/>
    <d v="1900-01-03T01:56:17"/>
    <n v="1"/>
    <m/>
    <m/>
    <m/>
    <m/>
    <x v="1"/>
    <x v="0"/>
    <n v="0"/>
  </r>
  <r>
    <s v="Deepak Jain"/>
    <x v="13"/>
    <s v="SA-TM-VK-Pushplata Mishra"/>
    <n v="11"/>
    <n v="9"/>
    <n v="5"/>
    <n v="0"/>
    <m/>
    <n v="0"/>
    <n v="0"/>
    <n v="1043"/>
    <n v="178"/>
    <d v="1900-01-04T22:27:41"/>
    <n v="1"/>
    <m/>
    <m/>
    <m/>
    <m/>
    <x v="0"/>
    <x v="0"/>
    <n v="0"/>
  </r>
  <r>
    <s v="Pushplata Mishra"/>
    <x v="13"/>
    <s v="SA-TM-VK-Pushplata Mishra"/>
    <n v="3"/>
    <n v="0"/>
    <n v="0"/>
    <n v="0"/>
    <m/>
    <n v="0"/>
    <n v="0"/>
    <n v="22"/>
    <n v="173"/>
    <d v="1899-12-31T22:37:38"/>
    <n v="1"/>
    <m/>
    <m/>
    <m/>
    <m/>
    <x v="1"/>
    <x v="0"/>
    <n v="0"/>
  </r>
  <r>
    <s v="Jyoti Negi"/>
    <x v="13"/>
    <s v="SA-TM-VK-Pushplata Mishra"/>
    <n v="7"/>
    <n v="6"/>
    <n v="2"/>
    <n v="1"/>
    <m/>
    <n v="5.3977272727272728E-2"/>
    <n v="6"/>
    <n v="779"/>
    <n v="176"/>
    <d v="1900-01-04T02:00:02"/>
    <n v="1"/>
    <m/>
    <m/>
    <m/>
    <m/>
    <x v="1"/>
    <x v="0"/>
    <n v="0"/>
  </r>
  <r>
    <s v="Belief Varghese"/>
    <x v="13"/>
    <s v="SA-TM-VK-Pushplata Mishra"/>
    <n v="1"/>
    <n v="1"/>
    <n v="0"/>
    <n v="0"/>
    <m/>
    <n v="0"/>
    <n v="0"/>
    <n v="323"/>
    <n v="168"/>
    <d v="1899-12-30T00:00:00"/>
    <n v="1"/>
    <m/>
    <m/>
    <m/>
    <m/>
    <x v="1"/>
    <x v="0"/>
    <n v="0"/>
  </r>
  <r>
    <s v="Akshay Chauhan"/>
    <x v="13"/>
    <s v="SA-Tushar Varma"/>
    <n v="6"/>
    <n v="5"/>
    <n v="2"/>
    <n v="0"/>
    <m/>
    <n v="0"/>
    <n v="0"/>
    <n v="553"/>
    <n v="172"/>
    <d v="1900-01-03T21:13:03"/>
    <n v="1"/>
    <m/>
    <m/>
    <m/>
    <m/>
    <x v="1"/>
    <x v="2"/>
    <n v="0"/>
  </r>
  <r>
    <s v="Ayush Garg"/>
    <x v="13"/>
    <s v="SA-Tushar Varma"/>
    <n v="0"/>
    <n v="0"/>
    <n v="0"/>
    <n v="0"/>
    <m/>
    <n v="0"/>
    <n v="0"/>
    <n v="0"/>
    <n v="116"/>
    <d v="1899-12-30T00:00:00"/>
    <n v="1"/>
    <m/>
    <m/>
    <m/>
    <m/>
    <x v="1"/>
    <x v="0"/>
    <n v="0"/>
  </r>
  <r>
    <s v="Pradeep Maurya"/>
    <x v="13"/>
    <s v="SA-Tushar Varma"/>
    <n v="15"/>
    <n v="13"/>
    <n v="3"/>
    <n v="0"/>
    <m/>
    <n v="0"/>
    <n v="0"/>
    <n v="142"/>
    <n v="161"/>
    <d v="1900-01-04T05:57:05"/>
    <n v="1"/>
    <m/>
    <m/>
    <m/>
    <m/>
    <x v="1"/>
    <x v="0"/>
    <n v="1"/>
  </r>
  <r>
    <s v="Akhil Mathur"/>
    <x v="13"/>
    <s v="SA-Tushar Varma"/>
    <n v="16"/>
    <n v="12"/>
    <n v="6"/>
    <n v="0"/>
    <m/>
    <n v="0"/>
    <n v="0"/>
    <n v="422"/>
    <n v="174"/>
    <d v="1900-01-04T07:52:58"/>
    <n v="1"/>
    <m/>
    <m/>
    <m/>
    <m/>
    <x v="1"/>
    <x v="0"/>
    <n v="0"/>
  </r>
  <r>
    <s v="Anushka Tiwari"/>
    <x v="14"/>
    <s v="ST-KP-Anushka Tiwari"/>
    <n v="5"/>
    <n v="2"/>
    <n v="1"/>
    <n v="0"/>
    <m/>
    <n v="0"/>
    <n v="0"/>
    <n v="53"/>
    <n v="164"/>
    <d v="1900-01-02T20:37:33"/>
    <n v="1"/>
    <m/>
    <m/>
    <m/>
    <m/>
    <x v="1"/>
    <x v="0"/>
    <n v="1"/>
  </r>
  <r>
    <s v="Harshit Kumar Niranjan"/>
    <x v="14"/>
    <s v="ST-KP-Anushka Tiwari"/>
    <n v="16"/>
    <n v="16"/>
    <n v="1"/>
    <n v="0"/>
    <m/>
    <n v="0"/>
    <n v="0"/>
    <n v="170"/>
    <n v="175"/>
    <d v="1900-01-04T04:22:10"/>
    <n v="1"/>
    <m/>
    <m/>
    <m/>
    <m/>
    <x v="2"/>
    <x v="2"/>
    <n v="2"/>
  </r>
  <r>
    <s v="Kushagra Rautela"/>
    <x v="14"/>
    <s v="ST-KP-Anushka Tiwari"/>
    <n v="20"/>
    <n v="20"/>
    <n v="4"/>
    <n v="0"/>
    <m/>
    <n v="0"/>
    <n v="0"/>
    <n v="140"/>
    <n v="174"/>
    <d v="1900-01-04T01:45:14"/>
    <n v="1"/>
    <m/>
    <m/>
    <m/>
    <m/>
    <x v="0"/>
    <x v="3"/>
    <n v="1"/>
  </r>
  <r>
    <s v="Deepak Badhwar"/>
    <x v="14"/>
    <s v="ST-KP-Himayan Dey"/>
    <n v="11"/>
    <n v="7"/>
    <n v="1"/>
    <n v="0"/>
    <m/>
    <n v="0"/>
    <n v="0"/>
    <n v="482"/>
    <n v="150"/>
    <d v="1900-01-04T15:35:00"/>
    <n v="1"/>
    <m/>
    <m/>
    <m/>
    <m/>
    <x v="0"/>
    <x v="0"/>
    <n v="0"/>
  </r>
  <r>
    <s v="Geetanjali Kohli"/>
    <x v="14"/>
    <s v="ST-KP-Himayan Dey"/>
    <n v="21"/>
    <n v="20"/>
    <n v="4"/>
    <n v="0"/>
    <m/>
    <n v="0"/>
    <n v="0"/>
    <n v="465"/>
    <n v="173"/>
    <d v="1900-01-03T11:08:58"/>
    <n v="1"/>
    <m/>
    <m/>
    <m/>
    <m/>
    <x v="2"/>
    <x v="0"/>
    <n v="0"/>
  </r>
  <r>
    <s v="Himayan Dey"/>
    <x v="14"/>
    <s v="ST-KP-Himayan Dey"/>
    <n v="1"/>
    <n v="0"/>
    <n v="0"/>
    <n v="0"/>
    <m/>
    <n v="0"/>
    <n v="0"/>
    <n v="7"/>
    <n v="163"/>
    <d v="1899-12-31T16:17:13"/>
    <n v="1"/>
    <m/>
    <m/>
    <m/>
    <m/>
    <x v="1"/>
    <x v="0"/>
    <n v="0"/>
  </r>
  <r>
    <s v="Kalpana Tiwari"/>
    <x v="14"/>
    <s v="ST-KP-Himayan Dey"/>
    <n v="17"/>
    <n v="16"/>
    <n v="3"/>
    <n v="0"/>
    <m/>
    <n v="0"/>
    <n v="0"/>
    <n v="446"/>
    <n v="173"/>
    <d v="1900-01-03T20:23:59"/>
    <n v="1"/>
    <m/>
    <m/>
    <m/>
    <m/>
    <x v="0"/>
    <x v="0"/>
    <n v="0"/>
  </r>
  <r>
    <s v="Rajashree Swain"/>
    <x v="14"/>
    <s v="ST-KP-Himayan Dey"/>
    <n v="20"/>
    <n v="18"/>
    <n v="1"/>
    <n v="0"/>
    <m/>
    <n v="0"/>
    <n v="0"/>
    <n v="206"/>
    <n v="172"/>
    <d v="1900-01-04T13:08:01"/>
    <n v="1"/>
    <m/>
    <m/>
    <m/>
    <m/>
    <x v="1"/>
    <x v="0"/>
    <n v="2"/>
  </r>
  <r>
    <s v="Shalini Kumari Pathak"/>
    <x v="14"/>
    <s v="ST-KP-Himayan Dey"/>
    <n v="25"/>
    <n v="22"/>
    <n v="3"/>
    <n v="1"/>
    <m/>
    <n v="5.3977272727272728E-2"/>
    <n v="22"/>
    <n v="248"/>
    <n v="176"/>
    <d v="1900-01-04T12:51:53"/>
    <n v="1"/>
    <m/>
    <m/>
    <m/>
    <m/>
    <x v="0"/>
    <x v="0"/>
    <n v="1"/>
  </r>
  <r>
    <s v="Rashmi Pal"/>
    <x v="14"/>
    <s v="ST-KP-Himayan Dey"/>
    <n v="12"/>
    <n v="9"/>
    <n v="1"/>
    <n v="0"/>
    <m/>
    <n v="0"/>
    <n v="0"/>
    <n v="436"/>
    <n v="181"/>
    <d v="1900-01-04T15:19:20"/>
    <n v="1"/>
    <m/>
    <m/>
    <m/>
    <m/>
    <x v="1"/>
    <x v="2"/>
    <n v="0"/>
  </r>
  <r>
    <s v="Ankita Sonkar"/>
    <x v="14"/>
    <s v="ST-NS1-DH-Ritesh Sharma"/>
    <n v="18"/>
    <n v="14"/>
    <n v="0"/>
    <n v="0"/>
    <m/>
    <n v="0"/>
    <n v="0"/>
    <n v="279"/>
    <n v="177"/>
    <d v="1900-01-04T11:50:31"/>
    <n v="1"/>
    <m/>
    <m/>
    <m/>
    <m/>
    <x v="1"/>
    <x v="0"/>
    <n v="0"/>
  </r>
  <r>
    <s v="Ritesh Sharma"/>
    <x v="14"/>
    <s v="ST-NS1-DH-Ritesh Sharma"/>
    <n v="3"/>
    <n v="1"/>
    <n v="0"/>
    <n v="0"/>
    <m/>
    <n v="0"/>
    <n v="0"/>
    <n v="11"/>
    <n v="170"/>
    <d v="1900-01-03T22:56:25"/>
    <n v="1"/>
    <m/>
    <m/>
    <m/>
    <m/>
    <x v="1"/>
    <x v="0"/>
    <n v="0"/>
  </r>
  <r>
    <s v="Shesh Nath Pandey"/>
    <x v="14"/>
    <s v="ST-NS1-DH-Ritesh Sharma"/>
    <n v="17"/>
    <n v="13"/>
    <n v="3"/>
    <n v="0"/>
    <m/>
    <n v="0"/>
    <n v="0"/>
    <n v="489"/>
    <n v="173"/>
    <d v="1900-01-04T03:42:18"/>
    <n v="1"/>
    <m/>
    <m/>
    <m/>
    <m/>
    <x v="1"/>
    <x v="0"/>
    <n v="0"/>
  </r>
  <r>
    <s v="Abhishek Mishra1"/>
    <x v="14"/>
    <s v="ST-NS1-DH-Ritesh Sharma"/>
    <n v="29"/>
    <n v="22"/>
    <n v="4"/>
    <n v="0"/>
    <m/>
    <n v="0"/>
    <n v="0"/>
    <n v="507"/>
    <n v="177"/>
    <d v="1900-01-04T10:48:50"/>
    <n v="1"/>
    <m/>
    <m/>
    <m/>
    <m/>
    <x v="0"/>
    <x v="2"/>
    <n v="1"/>
  </r>
  <r>
    <s v="Swaullppashree Rout"/>
    <x v="14"/>
    <s v="ST-NS1-DH-Ritesh Sharma"/>
    <n v="21"/>
    <n v="16"/>
    <n v="5"/>
    <n v="0"/>
    <m/>
    <n v="0"/>
    <n v="0"/>
    <n v="352"/>
    <n v="162"/>
    <d v="1900-01-04T08:10:18"/>
    <n v="1"/>
    <m/>
    <m/>
    <m/>
    <m/>
    <x v="1"/>
    <x v="0"/>
    <n v="0"/>
  </r>
  <r>
    <s v="Danish Husain"/>
    <x v="14"/>
    <s v="ST-NS1-DH-Ritesh Sharma"/>
    <n v="0"/>
    <n v="0"/>
    <n v="0"/>
    <n v="0"/>
    <m/>
    <n v="0"/>
    <n v="0"/>
    <n v="1"/>
    <n v="147"/>
    <d v="1899-12-30T13:01:22"/>
    <n v="1"/>
    <m/>
    <m/>
    <m/>
    <m/>
    <x v="1"/>
    <x v="0"/>
    <n v="0"/>
  </r>
  <r>
    <s v="Sharique Ali"/>
    <x v="14"/>
    <s v="ST-NS1-RS-Sharique Ali"/>
    <n v="8"/>
    <n v="5"/>
    <n v="4"/>
    <n v="1"/>
    <m/>
    <n v="5.3072625698324022E-2"/>
    <n v="5"/>
    <n v="67"/>
    <n v="179"/>
    <d v="1900-01-02T21:53:07"/>
    <n v="1"/>
    <m/>
    <m/>
    <m/>
    <m/>
    <x v="1"/>
    <x v="0"/>
    <n v="1"/>
  </r>
  <r>
    <s v="Kaamini Singh"/>
    <x v="14"/>
    <s v="ST-NS1-RS-Sharique Ali"/>
    <n v="0"/>
    <n v="0"/>
    <n v="0"/>
    <n v="0"/>
    <m/>
    <n v="0"/>
    <n v="0"/>
    <n v="0"/>
    <n v="83"/>
    <d v="1899-12-30T00:00:00"/>
    <n v="1"/>
    <m/>
    <m/>
    <m/>
    <m/>
    <x v="0"/>
    <x v="0"/>
    <n v="0"/>
  </r>
  <r>
    <s v="Payal Singh1"/>
    <x v="14"/>
    <s v="ST-NS1-RS-Sharique Ali"/>
    <n v="27"/>
    <n v="23"/>
    <n v="6"/>
    <n v="0"/>
    <m/>
    <n v="0"/>
    <n v="0"/>
    <n v="506"/>
    <n v="141"/>
    <d v="1900-01-04T15:48:34"/>
    <n v="1"/>
    <m/>
    <m/>
    <m/>
    <m/>
    <x v="2"/>
    <x v="0"/>
    <n v="0"/>
  </r>
  <r>
    <s v="Shweta Shrivastav"/>
    <x v="14"/>
    <s v="ST-NS1-RS-Sharique Ali"/>
    <n v="22"/>
    <n v="15"/>
    <n v="5"/>
    <n v="0"/>
    <m/>
    <n v="0"/>
    <n v="0"/>
    <n v="799"/>
    <n v="175"/>
    <d v="1900-01-04T01:47:28"/>
    <n v="1"/>
    <m/>
    <m/>
    <m/>
    <m/>
    <x v="1"/>
    <x v="0"/>
    <n v="0"/>
  </r>
  <r>
    <s v="Aditya Chauhan"/>
    <x v="14"/>
    <s v="ST-NS1-RS-Sharique Ali"/>
    <n v="11"/>
    <n v="8"/>
    <n v="2"/>
    <n v="0"/>
    <m/>
    <n v="0"/>
    <n v="0"/>
    <n v="466"/>
    <n v="171"/>
    <d v="1900-01-03T04:54:05"/>
    <n v="1"/>
    <m/>
    <m/>
    <m/>
    <m/>
    <x v="1"/>
    <x v="0"/>
    <n v="0"/>
  </r>
  <r>
    <s v="Paras Nijahwan"/>
    <x v="14"/>
    <s v="ST-PV-Paras Nijahwan "/>
    <n v="18"/>
    <n v="12"/>
    <n v="3"/>
    <n v="0"/>
    <m/>
    <n v="0"/>
    <n v="0"/>
    <n v="189"/>
    <n v="175"/>
    <d v="1900-01-04T03:04:02"/>
    <n v="1"/>
    <m/>
    <m/>
    <m/>
    <m/>
    <x v="0"/>
    <x v="0"/>
    <n v="0"/>
  </r>
  <r>
    <s v="Mrityunjay Mishra"/>
    <x v="14"/>
    <s v="ST-PV-Paras Nijahwan "/>
    <n v="4"/>
    <n v="2"/>
    <n v="0"/>
    <n v="0"/>
    <m/>
    <n v="0"/>
    <n v="0"/>
    <n v="146"/>
    <n v="166"/>
    <d v="1900-01-04T01:52:46"/>
    <n v="1"/>
    <m/>
    <m/>
    <m/>
    <m/>
    <x v="1"/>
    <x v="0"/>
    <n v="0"/>
  </r>
  <r>
    <s v="Aarti Negi"/>
    <x v="14"/>
    <s v="ST-PV-Rajat Kumar1"/>
    <n v="5"/>
    <n v="2"/>
    <n v="1"/>
    <n v="0"/>
    <m/>
    <n v="0"/>
    <n v="0"/>
    <n v="198"/>
    <n v="53"/>
    <d v="1899-12-31T11:28:31"/>
    <n v="1"/>
    <m/>
    <m/>
    <m/>
    <m/>
    <x v="1"/>
    <x v="0"/>
    <n v="0"/>
  </r>
  <r>
    <s v="Mohd Mahtab Alam"/>
    <x v="14"/>
    <s v="ST-PV-Rajat Kumar1"/>
    <n v="24"/>
    <n v="18"/>
    <n v="5"/>
    <n v="1"/>
    <m/>
    <n v="5.6547619047619041E-2"/>
    <n v="18"/>
    <n v="257"/>
    <n v="168"/>
    <d v="1900-01-04T04:34:16"/>
    <n v="1"/>
    <m/>
    <m/>
    <m/>
    <m/>
    <x v="1"/>
    <x v="1"/>
    <n v="2"/>
  </r>
  <r>
    <s v="Rahul Bhasin"/>
    <x v="14"/>
    <s v="ST-PV-Rajat Kumar1"/>
    <n v="17"/>
    <n v="13"/>
    <n v="3"/>
    <n v="0"/>
    <m/>
    <n v="0"/>
    <n v="0"/>
    <n v="280"/>
    <n v="177"/>
    <d v="1900-01-03T10:12:41"/>
    <n v="1"/>
    <m/>
    <m/>
    <m/>
    <m/>
    <x v="1"/>
    <x v="2"/>
    <n v="0"/>
  </r>
  <r>
    <s v="Rajat Kumar1"/>
    <x v="14"/>
    <s v="ST-PV-Rajat Kumar1"/>
    <n v="0"/>
    <n v="0"/>
    <n v="0"/>
    <n v="0"/>
    <m/>
    <n v="0"/>
    <n v="0"/>
    <n v="0"/>
    <n v="174"/>
    <d v="1899-12-31T05:13:50"/>
    <n v="1"/>
    <m/>
    <m/>
    <m/>
    <m/>
    <x v="1"/>
    <x v="0"/>
    <n v="0"/>
  </r>
  <r>
    <s v="Saksham Sharma"/>
    <x v="14"/>
    <s v="ST-PV-Rajat Kumar1"/>
    <n v="15"/>
    <n v="14"/>
    <n v="2"/>
    <n v="1"/>
    <m/>
    <n v="5.6213017751479286E-2"/>
    <n v="14"/>
    <n v="185"/>
    <n v="169"/>
    <d v="1900-01-03T19:21:21"/>
    <n v="1"/>
    <m/>
    <m/>
    <m/>
    <m/>
    <x v="0"/>
    <x v="0"/>
    <n v="0"/>
  </r>
  <r>
    <s v="Sourav Gautam"/>
    <x v="14"/>
    <s v="ST-PV-Rajat Kumar1"/>
    <n v="18"/>
    <n v="14"/>
    <n v="0"/>
    <n v="0"/>
    <m/>
    <n v="0"/>
    <n v="0"/>
    <n v="295"/>
    <n v="148"/>
    <d v="1900-01-04T07:35:54"/>
    <n v="1"/>
    <m/>
    <m/>
    <m/>
    <m/>
    <x v="1"/>
    <x v="0"/>
    <n v="0"/>
  </r>
  <r>
    <s v="Sanjeev Bisht"/>
    <x v="14"/>
    <s v="ST-PV-Rajat Kumar1"/>
    <n v="13"/>
    <n v="12"/>
    <n v="1"/>
    <n v="0"/>
    <m/>
    <n v="0"/>
    <n v="0"/>
    <n v="91"/>
    <n v="164"/>
    <d v="1900-01-02T04:31:53"/>
    <n v="1"/>
    <m/>
    <m/>
    <m/>
    <m/>
    <x v="1"/>
    <x v="0"/>
    <n v="0"/>
  </r>
  <r>
    <s v="Bharat Lohmore"/>
    <x v="14"/>
    <s v="ST-RM-Yash Sharma"/>
    <n v="14"/>
    <n v="12"/>
    <n v="1"/>
    <n v="0"/>
    <m/>
    <n v="0"/>
    <n v="0"/>
    <n v="75"/>
    <n v="172"/>
    <d v="1900-01-03T01:10:56"/>
    <n v="1"/>
    <m/>
    <m/>
    <m/>
    <m/>
    <x v="1"/>
    <x v="0"/>
    <n v="1"/>
  </r>
  <r>
    <s v="Krishan Kumar Swami"/>
    <x v="14"/>
    <s v="ST-RM-Yash Sharma"/>
    <n v="22"/>
    <n v="16"/>
    <n v="6"/>
    <n v="1"/>
    <m/>
    <n v="5.5555555555555552E-2"/>
    <n v="16"/>
    <n v="264"/>
    <n v="171"/>
    <d v="1900-01-04T06:30:29"/>
    <n v="1"/>
    <m/>
    <m/>
    <m/>
    <m/>
    <x v="1"/>
    <x v="1"/>
    <n v="0"/>
  </r>
  <r>
    <s v="Pooja Jalan"/>
    <x v="14"/>
    <s v="ST-RM-Yash Sharma"/>
    <n v="19"/>
    <n v="17"/>
    <n v="4"/>
    <n v="1"/>
    <m/>
    <n v="5.4285714285714284E-2"/>
    <n v="17"/>
    <n v="203"/>
    <n v="175"/>
    <d v="1900-01-04T07:01:31"/>
    <n v="1"/>
    <m/>
    <m/>
    <m/>
    <m/>
    <x v="1"/>
    <x v="0"/>
    <n v="1"/>
  </r>
  <r>
    <s v="Sahil Attri"/>
    <x v="14"/>
    <s v="ST-RM-Yash Sharma"/>
    <n v="20"/>
    <n v="19"/>
    <n v="5"/>
    <n v="0"/>
    <m/>
    <n v="0"/>
    <n v="0"/>
    <n v="196"/>
    <n v="175"/>
    <d v="1900-01-03T16:07:44"/>
    <n v="1"/>
    <m/>
    <m/>
    <m/>
    <m/>
    <x v="0"/>
    <x v="0"/>
    <n v="0"/>
  </r>
  <r>
    <s v="Vimal Sharma"/>
    <x v="14"/>
    <s v="ST-RM-Yash Sharma"/>
    <n v="24"/>
    <n v="19"/>
    <n v="6"/>
    <n v="1"/>
    <m/>
    <n v="5.5555555555555552E-2"/>
    <n v="19"/>
    <n v="191"/>
    <n v="171"/>
    <d v="1900-01-03T14:19:16"/>
    <n v="1"/>
    <m/>
    <m/>
    <m/>
    <m/>
    <x v="0"/>
    <x v="0"/>
    <n v="0"/>
  </r>
  <r>
    <s v="Yash Sharma"/>
    <x v="14"/>
    <s v="ST-RM-Yash Sharma"/>
    <n v="0"/>
    <n v="0"/>
    <n v="0"/>
    <n v="0"/>
    <m/>
    <n v="0"/>
    <n v="0"/>
    <n v="6"/>
    <n v="157"/>
    <d v="1900-01-03T09:10:01"/>
    <n v="1"/>
    <m/>
    <m/>
    <m/>
    <m/>
    <x v="1"/>
    <x v="0"/>
    <n v="0"/>
  </r>
  <r>
    <s v="Bhupendra Negi"/>
    <x v="14"/>
    <s v="ST-RM-Yash Sharma"/>
    <n v="12"/>
    <n v="9"/>
    <n v="1"/>
    <n v="0"/>
    <m/>
    <n v="0"/>
    <n v="0"/>
    <n v="349"/>
    <n v="176"/>
    <d v="1900-01-04T11:40:55"/>
    <n v="1"/>
    <m/>
    <m/>
    <m/>
    <m/>
    <x v="1"/>
    <x v="0"/>
    <n v="0"/>
  </r>
  <r>
    <s v="Bikramjeet Singh"/>
    <x v="14"/>
    <s v="ST-RM-Yash Sharma"/>
    <n v="15"/>
    <n v="13"/>
    <n v="2"/>
    <n v="1"/>
    <m/>
    <n v="5.5555555555555552E-2"/>
    <n v="13"/>
    <n v="127"/>
    <n v="171"/>
    <d v="1900-01-04T00:36:26"/>
    <n v="1"/>
    <m/>
    <m/>
    <m/>
    <m/>
    <x v="1"/>
    <x v="1"/>
    <n v="0"/>
  </r>
  <r>
    <s v="Ravindra Singh"/>
    <x v="14"/>
    <s v="ST-RM-Yash Sharma"/>
    <n v="15"/>
    <n v="12"/>
    <n v="4"/>
    <n v="0"/>
    <m/>
    <n v="0"/>
    <n v="0"/>
    <n v="167"/>
    <n v="174"/>
    <d v="1900-01-04T04:46:33"/>
    <n v="1"/>
    <m/>
    <m/>
    <m/>
    <m/>
    <x v="0"/>
    <x v="0"/>
    <n v="0"/>
  </r>
  <r>
    <s v="Anuj Kumar"/>
    <x v="15"/>
    <s v="SS-AA-Aayush Agarwal"/>
    <n v="15"/>
    <n v="4"/>
    <n v="1"/>
    <n v="0"/>
    <m/>
    <n v="0"/>
    <n v="0"/>
    <n v="195"/>
    <n v="177"/>
    <d v="1900-01-03T17:40:19"/>
    <n v="1"/>
    <m/>
    <m/>
    <m/>
    <m/>
    <x v="1"/>
    <x v="0"/>
    <n v="1"/>
  </r>
  <r>
    <s v="Richard Joseph"/>
    <x v="15"/>
    <s v="SS-AA-Vikas Verma"/>
    <n v="11"/>
    <n v="8"/>
    <n v="1"/>
    <n v="1"/>
    <m/>
    <n v="5.6213017751479286E-2"/>
    <n v="8"/>
    <n v="307"/>
    <n v="169"/>
    <d v="1900-01-03T21:01:42"/>
    <n v="1"/>
    <m/>
    <m/>
    <m/>
    <m/>
    <x v="1"/>
    <x v="0"/>
    <n v="0"/>
  </r>
  <r>
    <s v="Neha Sharma2"/>
    <x v="15"/>
    <s v="SS-AA-Vikas Verma"/>
    <n v="12"/>
    <n v="4"/>
    <n v="0"/>
    <n v="1"/>
    <m/>
    <n v="6.1290322580645165E-2"/>
    <n v="4"/>
    <n v="212"/>
    <n v="155"/>
    <d v="1900-01-03T11:01:58"/>
    <n v="1"/>
    <m/>
    <m/>
    <m/>
    <m/>
    <x v="1"/>
    <x v="0"/>
    <n v="0"/>
  </r>
  <r>
    <s v="Vikas Verma1"/>
    <x v="15"/>
    <s v="SS-AA-Vikas Verma"/>
    <n v="7"/>
    <n v="6"/>
    <n v="0"/>
    <n v="0"/>
    <m/>
    <n v="0"/>
    <n v="0"/>
    <n v="437"/>
    <n v="174"/>
    <d v="1900-01-03T20:22:28"/>
    <n v="1"/>
    <m/>
    <m/>
    <m/>
    <m/>
    <x v="1"/>
    <x v="0"/>
    <n v="1"/>
  </r>
  <r>
    <s v="Abhishek Verma"/>
    <x v="15"/>
    <s v="SS-SK-Bhupendra Kumar"/>
    <n v="10"/>
    <n v="4"/>
    <n v="2"/>
    <n v="0"/>
    <m/>
    <n v="0"/>
    <n v="0"/>
    <n v="162"/>
    <n v="161"/>
    <d v="1900-01-03T14:59:53"/>
    <n v="1"/>
    <m/>
    <m/>
    <m/>
    <m/>
    <x v="1"/>
    <x v="2"/>
    <n v="2"/>
  </r>
  <r>
    <s v="Azmat Ali"/>
    <x v="15"/>
    <s v="SS-SK-Bhupendra Kumar"/>
    <n v="13"/>
    <n v="2"/>
    <n v="0"/>
    <n v="0"/>
    <m/>
    <n v="0"/>
    <n v="0"/>
    <n v="297"/>
    <n v="157"/>
    <d v="1900-01-04T07:55:59"/>
    <n v="1"/>
    <m/>
    <m/>
    <m/>
    <m/>
    <x v="1"/>
    <x v="2"/>
    <n v="1"/>
  </r>
  <r>
    <s v="Bhupendra Kumar"/>
    <x v="15"/>
    <s v="SS-SK-Bhupendra Kumar"/>
    <n v="1"/>
    <n v="1"/>
    <n v="0"/>
    <n v="1"/>
    <m/>
    <n v="5.3072625698324022E-2"/>
    <n v="1"/>
    <n v="17"/>
    <n v="179"/>
    <d v="1900-01-03T18:52:13"/>
    <n v="1"/>
    <m/>
    <m/>
    <m/>
    <m/>
    <x v="1"/>
    <x v="0"/>
    <n v="0"/>
  </r>
  <r>
    <s v="Arvind Kumar Singh"/>
    <x v="15"/>
    <s v="SS-SK-Bhupendra Kumar"/>
    <n v="5"/>
    <n v="1"/>
    <n v="0"/>
    <n v="0"/>
    <m/>
    <n v="0"/>
    <n v="0"/>
    <n v="164"/>
    <n v="145"/>
    <d v="1900-01-03T08:24:55"/>
    <n v="1"/>
    <m/>
    <m/>
    <m/>
    <m/>
    <x v="1"/>
    <x v="0"/>
    <n v="0"/>
  </r>
  <r>
    <s v="Himanshu Kumar1"/>
    <x v="15"/>
    <s v="SS-SK-Himanshu Kumar"/>
    <n v="12"/>
    <n v="3"/>
    <n v="0"/>
    <n v="0"/>
    <m/>
    <n v="0"/>
    <n v="0"/>
    <n v="252"/>
    <n v="174"/>
    <d v="1900-01-03T08:30:03"/>
    <n v="1"/>
    <m/>
    <m/>
    <m/>
    <m/>
    <x v="1"/>
    <x v="0"/>
    <n v="1"/>
  </r>
  <r>
    <s v="Amit Mishra"/>
    <x v="15"/>
    <s v="SS-SK-Himanshu Kumar"/>
    <n v="9"/>
    <n v="2"/>
    <n v="0"/>
    <n v="0"/>
    <m/>
    <n v="0"/>
    <n v="0"/>
    <n v="212"/>
    <n v="170"/>
    <d v="1900-01-03T16:55:47"/>
    <n v="1"/>
    <m/>
    <m/>
    <m/>
    <m/>
    <x v="1"/>
    <x v="0"/>
    <n v="1"/>
  </r>
  <r>
    <s v="Sunil Rajpoot"/>
    <x v="15"/>
    <s v="SS-SK-Sunil Rajpoot"/>
    <n v="9"/>
    <n v="5"/>
    <n v="0"/>
    <n v="0"/>
    <m/>
    <n v="0"/>
    <n v="0"/>
    <n v="81"/>
    <n v="166"/>
    <d v="1900-01-02T19:40:00"/>
    <n v="1"/>
    <m/>
    <m/>
    <m/>
    <m/>
    <x v="0"/>
    <x v="0"/>
    <n v="0"/>
  </r>
  <r>
    <s v="Vaibhav Mishra"/>
    <x v="15"/>
    <s v="SS-SK-Sunil Rajpoot"/>
    <n v="8"/>
    <n v="3"/>
    <n v="1"/>
    <n v="0"/>
    <m/>
    <n v="0"/>
    <n v="0"/>
    <n v="345"/>
    <n v="166"/>
    <d v="1900-01-03T23:20:02"/>
    <n v="1"/>
    <m/>
    <m/>
    <m/>
    <m/>
    <x v="1"/>
    <x v="0"/>
    <n v="0"/>
  </r>
  <r>
    <s v="Amit Kumar Singh"/>
    <x v="15"/>
    <s v="SS-SM-Amit Singh"/>
    <n v="0"/>
    <n v="0"/>
    <n v="0"/>
    <n v="0"/>
    <m/>
    <n v="0"/>
    <n v="0"/>
    <n v="0"/>
    <n v="150"/>
    <d v="1899-12-30T06:44:25"/>
    <n v="1"/>
    <m/>
    <m/>
    <m/>
    <m/>
    <x v="1"/>
    <x v="0"/>
    <n v="0"/>
  </r>
  <r>
    <s v="Syeda Saba Arshi"/>
    <x v="15"/>
    <s v="SS-SM-Amit Singh"/>
    <n v="20"/>
    <n v="5"/>
    <n v="0"/>
    <n v="0"/>
    <m/>
    <n v="0"/>
    <n v="0"/>
    <n v="202"/>
    <n v="172"/>
    <d v="1900-01-04T06:30:05"/>
    <n v="1"/>
    <m/>
    <m/>
    <m/>
    <m/>
    <x v="1"/>
    <x v="0"/>
    <n v="1"/>
  </r>
  <r>
    <s v="Kiran Upadhyay"/>
    <x v="15"/>
    <s v="SS-SM-Amit Singh"/>
    <n v="18"/>
    <n v="3"/>
    <n v="0"/>
    <n v="0"/>
    <m/>
    <n v="0"/>
    <n v="0"/>
    <n v="664"/>
    <n v="164"/>
    <d v="1900-01-03T12:40:25"/>
    <n v="1"/>
    <m/>
    <m/>
    <m/>
    <m/>
    <x v="1"/>
    <x v="0"/>
    <n v="1"/>
  </r>
  <r>
    <s v="Divyanka Soni"/>
    <x v="15"/>
    <s v="SS-SM-Amit Singh"/>
    <n v="8"/>
    <n v="0"/>
    <n v="0"/>
    <n v="2"/>
    <m/>
    <n v="0.10795454545454546"/>
    <n v="0"/>
    <n v="47"/>
    <n v="176"/>
    <d v="1900-01-03T06:03:16"/>
    <n v="1"/>
    <m/>
    <m/>
    <m/>
    <m/>
    <x v="1"/>
    <x v="2"/>
    <n v="0"/>
  </r>
  <r>
    <s v="Shreyansh Singh"/>
    <x v="15"/>
    <s v="SS-SM-Manish Singh"/>
    <n v="21"/>
    <n v="8"/>
    <n v="0"/>
    <n v="1"/>
    <m/>
    <n v="5.459770114942529E-2"/>
    <n v="8"/>
    <n v="322"/>
    <n v="174"/>
    <d v="1900-01-04T11:16:14"/>
    <n v="1"/>
    <m/>
    <m/>
    <m/>
    <m/>
    <x v="1"/>
    <x v="2"/>
    <n v="0"/>
  </r>
  <r>
    <s v="Aash Mohammad"/>
    <x v="15"/>
    <s v="SS-SM-Manish Singh"/>
    <n v="22"/>
    <n v="5"/>
    <n v="0"/>
    <n v="0"/>
    <m/>
    <n v="0"/>
    <n v="0"/>
    <n v="483"/>
    <n v="171"/>
    <d v="1900-01-03T19:07:09"/>
    <n v="1"/>
    <m/>
    <m/>
    <m/>
    <m/>
    <x v="1"/>
    <x v="0"/>
    <n v="0"/>
  </r>
  <r>
    <s v="Manish Singh1"/>
    <x v="15"/>
    <s v="SS-SM-Manish Singh"/>
    <n v="3"/>
    <n v="0"/>
    <n v="0"/>
    <n v="0"/>
    <m/>
    <n v="0"/>
    <n v="0"/>
    <n v="20"/>
    <n v="176"/>
    <d v="1900-01-02T09:50:33"/>
    <n v="1"/>
    <m/>
    <m/>
    <m/>
    <m/>
    <x v="0"/>
    <x v="0"/>
    <n v="0"/>
  </r>
  <r>
    <s v="Vaishnavi Mishra"/>
    <x v="15"/>
    <s v="SS-SM-Manish Singh"/>
    <n v="12"/>
    <n v="2"/>
    <n v="0"/>
    <n v="0"/>
    <m/>
    <n v="0"/>
    <n v="0"/>
    <n v="362"/>
    <n v="167"/>
    <d v="1900-01-03T23:23:39"/>
    <n v="1"/>
    <m/>
    <m/>
    <m/>
    <m/>
    <x v="1"/>
    <x v="0"/>
    <n v="1"/>
  </r>
  <r>
    <s v="Abhinav Agarwal"/>
    <x v="16"/>
    <s v="SD-JK-Parul Tyagi"/>
    <n v="29"/>
    <n v="23"/>
    <n v="5"/>
    <n v="1"/>
    <m/>
    <n v="5.459770114942529E-2"/>
    <n v="23"/>
    <n v="188"/>
    <n v="174"/>
    <d v="1900-01-04T04:31:59"/>
    <n v="1"/>
    <m/>
    <m/>
    <m/>
    <m/>
    <x v="0"/>
    <x v="1"/>
    <n v="3"/>
  </r>
  <r>
    <s v="Manish Kumar Kulashri"/>
    <x v="16"/>
    <s v="SD-JK-Parul Tyagi"/>
    <n v="15"/>
    <n v="12"/>
    <n v="0"/>
    <n v="0"/>
    <m/>
    <n v="0"/>
    <n v="0"/>
    <n v="566"/>
    <n v="170"/>
    <d v="1900-01-03T18:07:02"/>
    <n v="1"/>
    <m/>
    <m/>
    <m/>
    <m/>
    <x v="1"/>
    <x v="2"/>
    <n v="1"/>
  </r>
  <r>
    <s v="Kripal Singh1 Kushwaha"/>
    <x v="16"/>
    <s v="SD-JK-Parul Tyagi"/>
    <n v="14"/>
    <n v="10"/>
    <n v="2"/>
    <n v="0"/>
    <m/>
    <n v="0"/>
    <n v="0"/>
    <n v="336"/>
    <n v="170"/>
    <d v="1900-01-03T04:03:49"/>
    <n v="1"/>
    <m/>
    <m/>
    <m/>
    <m/>
    <x v="0"/>
    <x v="2"/>
    <n v="2"/>
  </r>
  <r>
    <s v="Abhishek Kaushik"/>
    <x v="16"/>
    <s v="SD-JK-Parul Tyagi"/>
    <n v="22"/>
    <n v="17"/>
    <n v="2"/>
    <n v="1"/>
    <m/>
    <n v="5.4285714285714284E-2"/>
    <n v="17"/>
    <n v="391"/>
    <n v="175"/>
    <d v="1900-01-03T17:24:28"/>
    <n v="1"/>
    <m/>
    <m/>
    <m/>
    <m/>
    <x v="1"/>
    <x v="0"/>
    <n v="0"/>
  </r>
  <r>
    <s v="Dushyant Kumar"/>
    <x v="16"/>
    <s v="SD-JK-Parul Tyagi"/>
    <n v="15"/>
    <n v="11"/>
    <n v="1"/>
    <n v="0"/>
    <m/>
    <n v="0"/>
    <n v="0"/>
    <n v="344"/>
    <n v="166"/>
    <d v="1900-01-03T05:29:29"/>
    <n v="1"/>
    <m/>
    <m/>
    <m/>
    <m/>
    <x v="1"/>
    <x v="0"/>
    <n v="1"/>
  </r>
  <r>
    <s v="Raghvendra Pratap Singh Rautela"/>
    <x v="16"/>
    <s v="SD-JK-Parul Tyagi"/>
    <n v="19"/>
    <n v="11"/>
    <n v="4"/>
    <n v="0"/>
    <m/>
    <n v="0"/>
    <n v="0"/>
    <n v="384"/>
    <n v="168"/>
    <d v="1900-01-03T18:22:26"/>
    <n v="1"/>
    <m/>
    <m/>
    <m/>
    <m/>
    <x v="1"/>
    <x v="0"/>
    <n v="0"/>
  </r>
  <r>
    <s v="Mohd Aqib"/>
    <x v="13"/>
    <s v="SA-Tushar Varma"/>
    <n v="30"/>
    <n v="28"/>
    <n v="8"/>
    <n v="0"/>
    <m/>
    <n v="0"/>
    <n v="0"/>
    <n v="338"/>
    <n v="168"/>
    <d v="1900-01-03T20:23:44"/>
    <n v="1"/>
    <m/>
    <m/>
    <m/>
    <m/>
    <x v="0"/>
    <x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000-000003000000}" name="PivotTable6" cacheId="0" applyNumberFormats="0" applyBorderFormats="0" applyFontFormats="0" applyPatternFormats="0" applyAlignmentFormats="0" applyWidthHeightFormats="1" dataCaption="Values" updatedVersion="6" minRefreshableVersion="3" rowGrandTotals="0" itemPrintTitles="1" createdVersion="5" indent="0" outline="1" outlineData="1" multipleFieldFilters="0">
  <location ref="G10:H13" firstHeaderRow="1" firstDataRow="1" firstDataCol="1"/>
  <pivotFields count="18">
    <pivotField showAll="0"/>
    <pivotField showAll="0"/>
    <pivotField showAll="0"/>
    <pivotField axis="axisRow" showAll="0" measureFilter="1" sortType="ascending">
      <items count="368">
        <item x="288"/>
        <item x="53"/>
        <item x="258"/>
        <item x="5"/>
        <item x="117"/>
        <item x="51"/>
        <item x="16"/>
        <item x="81"/>
        <item x="71"/>
        <item x="287"/>
        <item x="0"/>
        <item x="1"/>
        <item x="2"/>
        <item x="3"/>
        <item x="4"/>
        <item x="6"/>
        <item x="7"/>
        <item x="8"/>
        <item x="9"/>
        <item x="10"/>
        <item x="11"/>
        <item x="12"/>
        <item x="13"/>
        <item x="14"/>
        <item x="15"/>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2"/>
        <item x="54"/>
        <item x="55"/>
        <item x="56"/>
        <item x="57"/>
        <item x="58"/>
        <item x="59"/>
        <item x="60"/>
        <item x="61"/>
        <item x="62"/>
        <item x="63"/>
        <item x="64"/>
        <item x="65"/>
        <item x="66"/>
        <item x="67"/>
        <item x="68"/>
        <item x="69"/>
        <item x="70"/>
        <item x="72"/>
        <item x="73"/>
        <item x="74"/>
        <item x="75"/>
        <item x="76"/>
        <item x="77"/>
        <item x="78"/>
        <item x="79"/>
        <item x="80"/>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t="default"/>
      </items>
      <autoSortScope>
        <pivotArea dataOnly="0" outline="0" fieldPosition="0">
          <references count="1">
            <reference field="4294967294" count="1" selected="0">
              <x v="0"/>
            </reference>
          </references>
        </pivotArea>
      </autoSortScope>
    </pivotField>
    <pivotField showAll="0">
      <items count="18">
        <item h="1" x="0"/>
        <item h="1" x="1"/>
        <item h="1" x="2"/>
        <item h="1" x="3"/>
        <item h="1" x="4"/>
        <item h="1" x="6"/>
        <item h="1" x="5"/>
        <item x="7"/>
        <item h="1" x="8"/>
        <item h="1" x="9"/>
        <item h="1" x="10"/>
        <item h="1" x="11"/>
        <item h="1" x="12"/>
        <item h="1" x="13"/>
        <item h="1" x="14"/>
        <item h="1" x="15"/>
        <item h="1" x="16"/>
        <item t="default"/>
      </items>
    </pivotField>
    <pivotField showAll="0"/>
    <pivotField showAll="0"/>
    <pivotField showAll="0"/>
    <pivotField showAll="0"/>
    <pivotField showAll="0"/>
    <pivotField showAll="0"/>
    <pivotField showAll="0" defaultSubtotal="0"/>
    <pivotField showAll="0" defaultSubtotal="0"/>
    <pivotField showAll="0" defaultSubtotal="0"/>
    <pivotField showAll="0"/>
    <pivotField numFmtId="165" showAll="0"/>
    <pivotField dataField="1" dragToRow="0" dragToCol="0" dragToPage="0" showAll="0" defaultSubtotal="0"/>
    <pivotField dragToRow="0" dragToCol="0" dragToPage="0" showAll="0" defaultSubtotal="0"/>
  </pivotFields>
  <rowFields count="1">
    <field x="3"/>
  </rowFields>
  <rowItems count="3">
    <i>
      <x v="163"/>
    </i>
    <i>
      <x v="167"/>
    </i>
    <i>
      <x v="166"/>
    </i>
  </rowItems>
  <colItems count="1">
    <i/>
  </colItems>
  <dataFields count="1">
    <dataField name="Sum of  Conv Rate" fld="16" baseField="3" baseItem="215" numFmtId="1"/>
  </dataFields>
  <formats count="2">
    <format dxfId="433">
      <pivotArea outline="0" collapsedLevelsAreSubtotals="1" fieldPosition="0"/>
    </format>
    <format dxfId="432">
      <pivotArea dataOnly="0" labelOnly="1" outline="0" axis="axisValues" fieldPosition="0"/>
    </format>
  </formats>
  <pivotTableStyleInfo name="PivotStyleLight16" showRowHeaders="1" showColHeaders="1" showRowStripes="0" showColStripes="0" showLastColumn="1"/>
  <filters count="1">
    <filter fld="3" type="valueGreaterThan" evalOrder="-1" id="5" iMeasureFld="0">
      <autoFilter ref="A1">
        <filterColumn colId="0">
          <customFilters>
            <customFilter operator="greaterThan"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000-000002000000}" name="PivotTable4" cacheId="0" applyNumberFormats="0" applyBorderFormats="0" applyFontFormats="0" applyPatternFormats="0" applyAlignmentFormats="0" applyWidthHeightFormats="1" dataCaption="Values" updatedVersion="6" minRefreshableVersion="3" rowGrandTotals="0" itemPrintTitles="1" createdVersion="5" indent="0" outline="1" outlineData="1" multipleFieldFilters="0">
  <location ref="D10:E33" firstHeaderRow="1" firstDataRow="1" firstDataCol="1"/>
  <pivotFields count="18">
    <pivotField showAll="0"/>
    <pivotField showAll="0"/>
    <pivotField showAll="0"/>
    <pivotField axis="axisRow" showAll="0" measureFilter="1" sortType="descending">
      <items count="368">
        <item x="288"/>
        <item x="53"/>
        <item x="258"/>
        <item x="5"/>
        <item x="117"/>
        <item x="51"/>
        <item x="16"/>
        <item x="81"/>
        <item x="71"/>
        <item x="287"/>
        <item x="0"/>
        <item x="1"/>
        <item x="2"/>
        <item x="3"/>
        <item x="4"/>
        <item x="6"/>
        <item x="7"/>
        <item x="8"/>
        <item x="9"/>
        <item x="10"/>
        <item x="11"/>
        <item x="12"/>
        <item x="13"/>
        <item x="14"/>
        <item x="15"/>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2"/>
        <item x="54"/>
        <item x="55"/>
        <item x="56"/>
        <item x="57"/>
        <item x="58"/>
        <item x="59"/>
        <item x="60"/>
        <item x="61"/>
        <item x="62"/>
        <item x="63"/>
        <item x="64"/>
        <item x="65"/>
        <item x="66"/>
        <item x="67"/>
        <item x="68"/>
        <item x="69"/>
        <item x="70"/>
        <item x="72"/>
        <item x="73"/>
        <item x="74"/>
        <item x="75"/>
        <item x="76"/>
        <item x="77"/>
        <item x="78"/>
        <item x="79"/>
        <item x="80"/>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t="default"/>
      </items>
      <autoSortScope>
        <pivotArea dataOnly="0" outline="0" fieldPosition="0">
          <references count="1">
            <reference field="4294967294" count="1" selected="0">
              <x v="0"/>
            </reference>
          </references>
        </pivotArea>
      </autoSortScope>
    </pivotField>
    <pivotField showAll="0">
      <items count="18">
        <item h="1" x="0"/>
        <item h="1" x="1"/>
        <item h="1" x="2"/>
        <item h="1" x="3"/>
        <item h="1" x="4"/>
        <item h="1" x="6"/>
        <item h="1" x="5"/>
        <item x="7"/>
        <item h="1" x="8"/>
        <item h="1" x="9"/>
        <item h="1" x="10"/>
        <item h="1" x="11"/>
        <item h="1" x="12"/>
        <item h="1" x="13"/>
        <item h="1" x="14"/>
        <item h="1" x="15"/>
        <item h="1" x="16"/>
        <item t="default"/>
      </items>
    </pivotField>
    <pivotField showAll="0"/>
    <pivotField showAll="0"/>
    <pivotField showAll="0"/>
    <pivotField showAll="0"/>
    <pivotField showAll="0"/>
    <pivotField showAll="0"/>
    <pivotField showAll="0" defaultSubtotal="0"/>
    <pivotField dataField="1" showAll="0" defaultSubtotal="0"/>
    <pivotField showAll="0" defaultSubtotal="0"/>
    <pivotField showAll="0"/>
    <pivotField numFmtId="165" showAll="0"/>
    <pivotField dragToRow="0" dragToCol="0" dragToPage="0" showAll="0" defaultSubtotal="0"/>
    <pivotField dragToRow="0" dragToCol="0" dragToPage="0" showAll="0" defaultSubtotal="0"/>
  </pivotFields>
  <rowFields count="1">
    <field x="3"/>
  </rowFields>
  <rowItems count="23">
    <i>
      <x v="163"/>
    </i>
    <i>
      <x v="166"/>
    </i>
    <i>
      <x v="167"/>
    </i>
    <i>
      <x v="165"/>
    </i>
    <i>
      <x v="161"/>
    </i>
    <i>
      <x v="159"/>
    </i>
    <i>
      <x v="151"/>
    </i>
    <i>
      <x v="149"/>
    </i>
    <i>
      <x v="152"/>
    </i>
    <i>
      <x v="147"/>
    </i>
    <i>
      <x v="153"/>
    </i>
    <i>
      <x v="160"/>
    </i>
    <i>
      <x v="154"/>
    </i>
    <i>
      <x v="162"/>
    </i>
    <i>
      <x v="155"/>
    </i>
    <i>
      <x v="164"/>
    </i>
    <i>
      <x v="148"/>
    </i>
    <i>
      <x v="150"/>
    </i>
    <i>
      <x v="168"/>
    </i>
    <i>
      <x v="156"/>
    </i>
    <i>
      <x v="169"/>
    </i>
    <i>
      <x v="157"/>
    </i>
    <i>
      <x v="158"/>
    </i>
  </rowItems>
  <colItems count="1">
    <i/>
  </colItems>
  <dataFields count="1">
    <dataField name="Ave of SPR" fld="12" subtotal="average" baseField="3" baseItem="366" numFmtId="2"/>
  </dataFields>
  <formats count="1">
    <format dxfId="434">
      <pivotArea outline="0" collapsedLevelsAreSubtotals="1" fieldPosition="0"/>
    </format>
  </formats>
  <pivotTableStyleInfo name="PivotStyleLight16" showRowHeaders="1" showColHeaders="1" showRowStripes="0" showColStripes="0" showLastColumn="1"/>
  <filters count="1">
    <filter fld="3"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000-000001000000}" name="PivotTable2" cacheId="0" applyNumberFormats="0" applyBorderFormats="0" applyFontFormats="0" applyPatternFormats="0" applyAlignmentFormats="0" applyWidthHeightFormats="1" dataCaption="Values" updatedVersion="6" minRefreshableVersion="3" rowGrandTotals="0" itemPrintTitles="1" createdVersion="5" indent="0" outline="1" outlineData="1" multipleFieldFilters="0">
  <location ref="A10:B16" firstHeaderRow="1" firstDataRow="1" firstDataCol="1"/>
  <pivotFields count="18">
    <pivotField showAll="0"/>
    <pivotField showAll="0"/>
    <pivotField showAll="0"/>
    <pivotField axis="axisRow" showAll="0" measureFilter="1" sortType="descending">
      <items count="368">
        <item x="288"/>
        <item x="53"/>
        <item x="258"/>
        <item x="5"/>
        <item x="117"/>
        <item x="51"/>
        <item x="16"/>
        <item x="81"/>
        <item x="71"/>
        <item x="287"/>
        <item x="0"/>
        <item x="1"/>
        <item x="2"/>
        <item x="3"/>
        <item x="4"/>
        <item x="6"/>
        <item x="7"/>
        <item x="8"/>
        <item x="9"/>
        <item x="10"/>
        <item x="11"/>
        <item x="12"/>
        <item x="13"/>
        <item x="14"/>
        <item x="15"/>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2"/>
        <item x="54"/>
        <item x="55"/>
        <item x="56"/>
        <item x="57"/>
        <item x="58"/>
        <item x="59"/>
        <item x="60"/>
        <item x="61"/>
        <item x="62"/>
        <item x="63"/>
        <item x="64"/>
        <item x="65"/>
        <item x="66"/>
        <item x="67"/>
        <item x="68"/>
        <item x="69"/>
        <item x="70"/>
        <item x="72"/>
        <item x="73"/>
        <item x="74"/>
        <item x="75"/>
        <item x="76"/>
        <item x="77"/>
        <item x="78"/>
        <item x="79"/>
        <item x="80"/>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t="default"/>
      </items>
      <autoSortScope>
        <pivotArea dataOnly="0" outline="0" fieldPosition="0">
          <references count="1">
            <reference field="4294967294" count="1" selected="0">
              <x v="0"/>
            </reference>
          </references>
        </pivotArea>
      </autoSortScope>
    </pivotField>
    <pivotField showAll="0">
      <items count="18">
        <item h="1" x="0"/>
        <item h="1" x="1"/>
        <item h="1" x="2"/>
        <item h="1" x="3"/>
        <item h="1" x="4"/>
        <item h="1" x="6"/>
        <item h="1" x="5"/>
        <item x="7"/>
        <item h="1" x="8"/>
        <item h="1" x="9"/>
        <item h="1" x="10"/>
        <item h="1" x="11"/>
        <item h="1" x="12"/>
        <item h="1" x="13"/>
        <item h="1" x="14"/>
        <item h="1" x="15"/>
        <item h="1" x="16"/>
        <item t="default"/>
      </items>
    </pivotField>
    <pivotField showAll="0"/>
    <pivotField showAll="0"/>
    <pivotField showAll="0"/>
    <pivotField showAll="0"/>
    <pivotField showAll="0"/>
    <pivotField showAll="0"/>
    <pivotField dataField="1" showAll="0" defaultSubtotal="0"/>
    <pivotField showAll="0" defaultSubtotal="0"/>
    <pivotField showAll="0" defaultSubtotal="0"/>
    <pivotField showAll="0"/>
    <pivotField numFmtId="165" showAll="0"/>
    <pivotField dragToRow="0" dragToCol="0" dragToPage="0" showAll="0" defaultSubtotal="0"/>
    <pivotField dragToRow="0" dragToCol="0" dragToPage="0" showAll="0" defaultSubtotal="0"/>
  </pivotFields>
  <rowFields count="1">
    <field x="3"/>
  </rowFields>
  <rowItems count="6">
    <i>
      <x v="164"/>
    </i>
    <i>
      <x v="165"/>
    </i>
    <i>
      <x v="166"/>
    </i>
    <i>
      <x v="147"/>
    </i>
    <i>
      <x v="148"/>
    </i>
    <i>
      <x v="151"/>
    </i>
  </rowItems>
  <colItems count="1">
    <i/>
  </colItems>
  <dataFields count="1">
    <dataField name="Ave of Productivity" fld="11" subtotal="average" baseField="3" baseItem="182" numFmtId="2"/>
  </dataFields>
  <formats count="1">
    <format dxfId="435">
      <pivotArea outline="0" collapsedLevelsAreSubtotals="1" fieldPosition="0"/>
    </format>
  </formats>
  <pivotTableStyleInfo name="PivotStyleLight16" showRowHeaders="1" showColHeaders="1" showRowStripes="0" showColStripes="0" showLastColumn="1"/>
  <filters count="1">
    <filter fld="3"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000-000000000000}" name="PivotTable1" cacheId="0" applyNumberFormats="0" applyBorderFormats="0" applyFontFormats="0" applyPatternFormats="0" applyAlignmentFormats="0" applyWidthHeightFormats="1" dataCaption="Values" updatedVersion="6" minRefreshableVersion="3" itemPrintTitles="1" createdVersion="5" indent="0" outline="1" outlineData="1" multipleFieldFilters="0">
  <location ref="A3:H4" firstHeaderRow="0" firstDataRow="1" firstDataCol="0"/>
  <pivotFields count="18">
    <pivotField showAll="0"/>
    <pivotField showAll="0"/>
    <pivotField showAll="0"/>
    <pivotField dataField="1" showAll="0"/>
    <pivotField showAll="0">
      <items count="18">
        <item h="1" x="0"/>
        <item h="1" x="1"/>
        <item h="1" x="2"/>
        <item h="1" x="3"/>
        <item h="1" x="4"/>
        <item h="1" x="6"/>
        <item h="1" x="5"/>
        <item x="7"/>
        <item h="1" x="8"/>
        <item h="1" x="9"/>
        <item h="1" x="10"/>
        <item h="1" x="11"/>
        <item h="1" x="12"/>
        <item h="1" x="13"/>
        <item h="1" x="14"/>
        <item h="1" x="15"/>
        <item h="1" x="16"/>
        <item t="default"/>
      </items>
    </pivotField>
    <pivotField dataField="1" showAll="0"/>
    <pivotField showAll="0"/>
    <pivotField showAll="0"/>
    <pivotField dataField="1" showAll="0"/>
    <pivotField dataField="1" showAll="0"/>
    <pivotField dataField="1" showAll="0"/>
    <pivotField dataField="1" showAll="0" defaultSubtotal="0"/>
    <pivotField dataField="1" showAll="0" defaultSubtotal="0"/>
    <pivotField showAll="0" defaultSubtotal="0"/>
    <pivotField showAll="0"/>
    <pivotField numFmtId="165" showAll="0"/>
    <pivotField dataField="1" dragToRow="0" dragToCol="0" dragToPage="0" showAll="0" defaultSubtotal="0"/>
    <pivotField dragToRow="0" dragToCol="0" dragToPage="0" showAll="0" defaultSubtotal="0"/>
  </pivotFields>
  <rowItems count="1">
    <i/>
  </rowItems>
  <colFields count="1">
    <field x="-2"/>
  </colFields>
  <colItems count="8">
    <i>
      <x/>
    </i>
    <i i="1">
      <x v="1"/>
    </i>
    <i i="2">
      <x v="2"/>
    </i>
    <i i="3">
      <x v="3"/>
    </i>
    <i i="4">
      <x v="4"/>
    </i>
    <i i="5">
      <x v="5"/>
    </i>
    <i i="6">
      <x v="6"/>
    </i>
    <i i="7">
      <x v="7"/>
    </i>
  </colItems>
  <dataFields count="8">
    <dataField name="Count of User" fld="3" subtotal="count" baseField="0" baseItem="1"/>
    <dataField name="# Int Submittals" fld="5" baseField="0" baseItem="0"/>
    <dataField name="#  Ext Submittal" fld="8" baseField="0" baseItem="0"/>
    <dataField name="# Interviews" fld="9" baseField="0" baseItem="0"/>
    <dataField name=" # Starts" fld="10" baseField="0" baseItem="0"/>
    <dataField name="Average of Productivity" fld="11" subtotal="average" baseField="0" baseItem="5" numFmtId="2"/>
    <dataField name="Average of SPR" fld="12" subtotal="average" baseField="0" baseItem="6" numFmtId="2"/>
    <dataField name="Sum of  Conv Rate" fld="16" baseField="0" baseItem="0" numFmtId="1"/>
  </dataFields>
  <formats count="2">
    <format dxfId="437">
      <pivotArea outline="0" collapsedLevelsAreSubtotals="1" fieldPosition="0">
        <references count="1">
          <reference field="4294967294" count="1" selected="0">
            <x v="7"/>
          </reference>
        </references>
      </pivotArea>
    </format>
    <format dxfId="436">
      <pivotArea outline="0" collapsedLevelsAreSubtotals="1" fieldPosition="0">
        <references count="1">
          <reference field="4294967294" count="2" selected="0">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100-000003000000}" name="PivotTable4" cacheId="0" applyNumberFormats="0" applyBorderFormats="0" applyFontFormats="0" applyPatternFormats="0" applyAlignmentFormats="0" applyWidthHeightFormats="1" dataCaption="Values" updatedVersion="6" minRefreshableVersion="3" useAutoFormatting="1" rowGrandTotals="0" itemPrintTitles="1" createdVersion="5" indent="0" outline="1" outlineData="1" multipleFieldFilters="0">
  <location ref="G11:H12" firstHeaderRow="1" firstDataRow="1" firstDataCol="1"/>
  <pivotFields count="18">
    <pivotField showAll="0"/>
    <pivotField showAll="0"/>
    <pivotField showAll="0"/>
    <pivotField showAll="0"/>
    <pivotField axis="axisRow" showAll="0" sortType="ascending">
      <items count="18">
        <item h="1" x="0"/>
        <item h="1" x="1"/>
        <item h="1" x="2"/>
        <item h="1" x="3"/>
        <item h="1" x="4"/>
        <item h="1" x="5"/>
        <item h="1" x="6"/>
        <item x="7"/>
        <item h="1" x="8"/>
        <item h="1" x="9"/>
        <item h="1" x="10"/>
        <item h="1" x="11"/>
        <item h="1" x="12"/>
        <item h="1" x="13"/>
        <item h="1" x="14"/>
        <item h="1" x="15"/>
        <item h="1" x="16"/>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defaultSubtotal="0"/>
    <pivotField showAll="0" defaultSubtotal="0"/>
    <pivotField showAll="0" defaultSubtotal="0"/>
    <pivotField showAll="0"/>
    <pivotField numFmtId="165" showAll="0"/>
    <pivotField dataField="1" dragToRow="0" dragToCol="0" dragToPage="0" showAll="0" defaultSubtotal="0"/>
    <pivotField dragToRow="0" dragToCol="0" dragToPage="0" showAll="0" defaultSubtotal="0"/>
  </pivotFields>
  <rowFields count="1">
    <field x="4"/>
  </rowFields>
  <rowItems count="1">
    <i>
      <x v="7"/>
    </i>
  </rowItems>
  <colItems count="1">
    <i/>
  </colItems>
  <dataFields count="1">
    <dataField name="Sum of  Conv Rate" fld="16" baseField="0" baseItem="0" numFmtId="1"/>
  </dataFields>
  <formats count="1">
    <format dxfId="37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100-000004000000}" name="PivotTable5" cacheId="0" applyNumberFormats="0" applyBorderFormats="0" applyFontFormats="0" applyPatternFormats="0" applyAlignmentFormats="0" applyWidthHeightFormats="1" dataCaption="Values" updatedVersion="6" minRefreshableVersion="3" rowGrandTotals="0" itemPrintTitles="1" createdVersion="5" indent="0" compact="0" compactData="0" gridDropZones="1" multipleFieldFilters="0" chartFormat="13">
  <location ref="B48:L50" firstHeaderRow="1" firstDataRow="2" firstDataCol="1"/>
  <pivotFields count="18">
    <pivotField compact="0" outline="0" showAll="0" sortType="descending" defaultSubtotal="0">
      <items count="98">
        <item x="0"/>
        <item x="47"/>
        <item x="4"/>
        <item x="5"/>
        <item x="6"/>
        <item x="7"/>
        <item x="8"/>
        <item x="9"/>
        <item x="10"/>
        <item x="11"/>
        <item x="12"/>
        <item x="13"/>
        <item x="14"/>
        <item x="16"/>
        <item x="17"/>
        <item x="18"/>
        <item x="19"/>
        <item x="20"/>
        <item x="21"/>
        <item x="22"/>
        <item x="23"/>
        <item x="24"/>
        <item x="25"/>
        <item x="26"/>
        <item x="27"/>
        <item x="28"/>
        <item x="29"/>
        <item x="38"/>
        <item x="39"/>
        <item x="40"/>
        <item x="41"/>
        <item x="30"/>
        <item x="15"/>
        <item x="31"/>
        <item x="32"/>
        <item x="33"/>
        <item x="34"/>
        <item x="35"/>
        <item x="36"/>
        <item x="37"/>
        <item x="42"/>
        <item x="43"/>
        <item x="44"/>
        <item x="45"/>
        <item x="46"/>
        <item x="48"/>
        <item x="1"/>
        <item x="2"/>
        <item x="3"/>
        <item x="49"/>
        <item x="50"/>
        <item x="51"/>
        <item x="52"/>
        <item x="53"/>
        <item x="54"/>
        <item x="56"/>
        <item x="57"/>
        <item x="58"/>
        <item x="55"/>
        <item x="59"/>
        <item x="60"/>
        <item x="61"/>
        <item x="62"/>
        <item x="63"/>
        <item x="64"/>
        <item x="65"/>
        <item x="66"/>
        <item x="67"/>
        <item x="68"/>
        <item x="69"/>
        <item x="70"/>
        <item x="71"/>
        <item x="72"/>
        <item x="73"/>
        <item x="74"/>
        <item x="75"/>
        <item x="76"/>
        <item x="77"/>
        <item x="78"/>
        <item x="79"/>
        <item x="80"/>
        <item x="81"/>
        <item x="82"/>
        <item x="97"/>
        <item x="90"/>
        <item x="91"/>
        <item x="92"/>
        <item x="93"/>
        <item x="94"/>
        <item x="95"/>
        <item x="96"/>
        <item x="83"/>
        <item x="84"/>
        <item x="85"/>
        <item x="86"/>
        <item x="87"/>
        <item x="88"/>
        <item x="89"/>
      </items>
      <autoSortScope>
        <pivotArea dataOnly="0" outline="0" fieldPosition="0">
          <references count="1">
            <reference field="4294967294" count="1" selected="0">
              <x v="0"/>
            </reference>
          </references>
        </pivotArea>
      </autoSortScope>
    </pivotField>
    <pivotField compact="0" outline="0" showAll="0"/>
    <pivotField compact="0" outline="0" showAll="0"/>
    <pivotField dataField="1" compact="0" outline="0" showAll="0"/>
    <pivotField compact="0" outline="0" showAll="0" sortType="ascending">
      <items count="18">
        <item h="1" x="0"/>
        <item h="1" x="1"/>
        <item h="1" x="2"/>
        <item h="1" x="3"/>
        <item h="1" x="4"/>
        <item h="1" x="6"/>
        <item h="1" x="5"/>
        <item x="7"/>
        <item h="1" x="8"/>
        <item h="1" x="9"/>
        <item h="1" x="10"/>
        <item h="1" x="11"/>
        <item h="1" x="12"/>
        <item h="1" x="13"/>
        <item h="1" x="14"/>
        <item h="1" x="15"/>
        <item h="1" x="16"/>
        <item t="default"/>
      </items>
    </pivotField>
    <pivotField dataField="1" compact="0" outline="0" showAll="0"/>
    <pivotField compact="0" outline="0" showAll="0"/>
    <pivotField compact="0" outline="0" showAll="0"/>
    <pivotField dataField="1" compact="0" outline="0" showAll="0"/>
    <pivotField dataField="1" compact="0" outline="0" showAll="0"/>
    <pivotField dataField="1" compact="0" outline="0" showAll="0"/>
    <pivotField dataField="1" compact="0" outline="0" showAll="0" defaultSubtotal="0"/>
    <pivotField dataField="1" compact="0" outline="0" showAll="0" defaultSubtotal="0"/>
    <pivotField compact="0" outline="0" showAll="0" defaultSubtotal="0"/>
    <pivotField dataField="1" compact="0" outline="0" showAll="0"/>
    <pivotField dataField="1" compact="0" numFmtId="165" outline="0" showAll="0"/>
    <pivotField dataField="1" compact="0" outline="0" dragToRow="0" dragToCol="0" dragToPage="0" showAll="0" defaultSubtotal="0"/>
    <pivotField compact="0" outline="0" dragToRow="0" dragToCol="0" dragToPage="0" showAll="0" defaultSubtotal="0"/>
  </pivotFields>
  <rowItems count="1">
    <i/>
  </rowItems>
  <colFields count="1">
    <field x="-2"/>
  </colFields>
  <colItems count="10">
    <i>
      <x/>
    </i>
    <i i="1">
      <x v="1"/>
    </i>
    <i i="2">
      <x v="2"/>
    </i>
    <i i="3">
      <x v="3"/>
    </i>
    <i i="4">
      <x v="4"/>
    </i>
    <i i="5">
      <x v="5"/>
    </i>
    <i i="6">
      <x v="6"/>
    </i>
    <i i="7">
      <x v="7"/>
    </i>
    <i i="8">
      <x v="8"/>
    </i>
    <i i="9">
      <x v="9"/>
    </i>
  </colItems>
  <dataFields count="10">
    <dataField name="Int Sub" fld="5" baseField="0" baseItem="0"/>
    <dataField name="Ext Sub" fld="8" baseField="0" baseItem="0"/>
    <dataField name="Interviews " fld="9" baseField="0" baseItem="0"/>
    <dataField name="Starts " fld="10" baseField="0" baseItem="0"/>
    <dataField name="Productivity " fld="11" subtotal="average" baseField="0" baseItem="5" numFmtId="2"/>
    <dataField name="SPR " fld="12" subtotal="average" baseField="0" baseItem="6" numFmtId="2"/>
    <dataField name="Conv Rate " fld="16" baseField="0" baseItem="0" numFmtId="1"/>
    <dataField name=" Notes" fld="14" baseField="0" baseItem="7"/>
    <dataField name="Total User" fld="3" subtotal="count" baseField="0" baseItem="0"/>
    <dataField name="Average of Hours" fld="15" subtotal="average" baseField="0" baseItem="9"/>
  </dataFields>
  <formats count="30">
    <format dxfId="406">
      <pivotArea outline="0" collapsedLevelsAreSubtotals="1" fieldPosition="0">
        <references count="1">
          <reference field="4294967294" count="1" selected="0">
            <x v="6"/>
          </reference>
        </references>
      </pivotArea>
    </format>
    <format dxfId="405">
      <pivotArea dataOnly="0" labelOnly="1" outline="0" fieldPosition="0">
        <references count="1">
          <reference field="4294967294" count="1">
            <x v="6"/>
          </reference>
        </references>
      </pivotArea>
    </format>
    <format dxfId="404">
      <pivotArea dataOnly="0" labelOnly="1" outline="0" fieldPosition="0">
        <references count="1">
          <reference field="4294967294" count="7">
            <x v="0"/>
            <x v="1"/>
            <x v="2"/>
            <x v="3"/>
            <x v="4"/>
            <x v="5"/>
            <x v="6"/>
          </reference>
        </references>
      </pivotArea>
    </format>
    <format dxfId="403">
      <pivotArea type="origin" dataOnly="0" labelOnly="1" outline="0" fieldPosition="0"/>
    </format>
    <format dxfId="402">
      <pivotArea outline="0" fieldPosition="0">
        <references count="1">
          <reference field="4294967294" count="1" selected="0">
            <x v="4"/>
          </reference>
        </references>
      </pivotArea>
    </format>
    <format dxfId="401">
      <pivotArea outline="0" fieldPosition="0">
        <references count="1">
          <reference field="4294967294" count="1" selected="0">
            <x v="5"/>
          </reference>
        </references>
      </pivotArea>
    </format>
    <format dxfId="400">
      <pivotArea type="all" dataOnly="0" outline="0" fieldPosition="0"/>
    </format>
    <format dxfId="399">
      <pivotArea type="all" dataOnly="0" outline="0" fieldPosition="0"/>
    </format>
    <format dxfId="398">
      <pivotArea type="all" dataOnly="0" outline="0" fieldPosition="0"/>
    </format>
    <format dxfId="397">
      <pivotArea outline="0" collapsedLevelsAreSubtotals="1" fieldPosition="0"/>
    </format>
    <format dxfId="396">
      <pivotArea type="all" dataOnly="0" outline="0" fieldPosition="0"/>
    </format>
    <format dxfId="395">
      <pivotArea outline="0" collapsedLevelsAreSubtotals="1" fieldPosition="0"/>
    </format>
    <format dxfId="394">
      <pivotArea outline="0" collapsedLevelsAreSubtotals="1" fieldPosition="0"/>
    </format>
    <format dxfId="393">
      <pivotArea type="all" dataOnly="0" outline="0" fieldPosition="0"/>
    </format>
    <format dxfId="392">
      <pivotArea outline="0" collapsedLevelsAreSubtotals="1" fieldPosition="0"/>
    </format>
    <format dxfId="391">
      <pivotArea type="all" dataOnly="0" outline="0" fieldPosition="0"/>
    </format>
    <format dxfId="390">
      <pivotArea outline="0" collapsedLevelsAreSubtotals="1" fieldPosition="0"/>
    </format>
    <format dxfId="389">
      <pivotArea dataOnly="0" labelOnly="1" outline="0" fieldPosition="0">
        <references count="1">
          <reference field="4294967294" count="7">
            <x v="0"/>
            <x v="1"/>
            <x v="2"/>
            <x v="3"/>
            <x v="4"/>
            <x v="5"/>
            <x v="6"/>
          </reference>
        </references>
      </pivotArea>
    </format>
    <format dxfId="388">
      <pivotArea type="all" dataOnly="0" outline="0" fieldPosition="0"/>
    </format>
    <format dxfId="387">
      <pivotArea outline="0" collapsedLevelsAreSubtotals="1" fieldPosition="0"/>
    </format>
    <format dxfId="386">
      <pivotArea dataOnly="0" labelOnly="1" outline="0" fieldPosition="0">
        <references count="1">
          <reference field="4294967294" count="7">
            <x v="0"/>
            <x v="1"/>
            <x v="2"/>
            <x v="3"/>
            <x v="4"/>
            <x v="5"/>
            <x v="6"/>
          </reference>
        </references>
      </pivotArea>
    </format>
    <format dxfId="385">
      <pivotArea field="-2" type="button" dataOnly="0" labelOnly="1" outline="0" axis="axisCol" fieldPosition="0"/>
    </format>
    <format dxfId="384">
      <pivotArea type="all" dataOnly="0" outline="0" fieldPosition="0"/>
    </format>
    <format dxfId="383">
      <pivotArea outline="0" collapsedLevelsAreSubtotals="1" fieldPosition="0"/>
    </format>
    <format dxfId="382">
      <pivotArea type="origin" dataOnly="0" labelOnly="1" outline="0" fieldPosition="0"/>
    </format>
    <format dxfId="381">
      <pivotArea dataOnly="0" labelOnly="1" outline="0" fieldPosition="0">
        <references count="1">
          <reference field="4294967294" count="7">
            <x v="0"/>
            <x v="1"/>
            <x v="2"/>
            <x v="3"/>
            <x v="4"/>
            <x v="5"/>
            <x v="6"/>
          </reference>
        </references>
      </pivotArea>
    </format>
    <format dxfId="380">
      <pivotArea type="all" dataOnly="0" outline="0" fieldPosition="0"/>
    </format>
    <format dxfId="379">
      <pivotArea outline="0" collapsedLevelsAreSubtotals="1" fieldPosition="0"/>
    </format>
    <format dxfId="378">
      <pivotArea type="origin" dataOnly="0" labelOnly="1" outline="0" fieldPosition="0"/>
    </format>
    <format dxfId="377">
      <pivotArea dataOnly="0" labelOnly="1" outline="0" fieldPosition="0">
        <references count="1">
          <reference field="4294967294" count="7">
            <x v="0"/>
            <x v="1"/>
            <x v="2"/>
            <x v="3"/>
            <x v="4"/>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3CE0065-C420-455E-82B5-120113B5478E}" name="PivotTable7" cacheId="0" applyNumberFormats="0" applyBorderFormats="0" applyFontFormats="0" applyPatternFormats="0" applyAlignmentFormats="0" applyWidthHeightFormats="1" dataCaption="Values" updatedVersion="6" minRefreshableVersion="3" rowGrandTotals="0" itemPrintTitles="1" createdVersion="5" indent="0" compact="0" compactData="0" gridDropZones="1" multipleFieldFilters="0" chartFormat="13">
  <location ref="N48:T61" firstHeaderRow="1" firstDataRow="1" firstDataCol="1"/>
  <pivotFields count="18">
    <pivotField compact="0" outline="0" showAll="0" defaultSubtotal="0">
      <items count="98">
        <item x="0"/>
        <item x="47"/>
        <item x="4"/>
        <item x="5"/>
        <item x="6"/>
        <item x="7"/>
        <item x="8"/>
        <item x="9"/>
        <item x="10"/>
        <item x="11"/>
        <item x="12"/>
        <item x="13"/>
        <item x="14"/>
        <item x="16"/>
        <item x="17"/>
        <item x="18"/>
        <item x="19"/>
        <item x="20"/>
        <item x="21"/>
        <item x="22"/>
        <item x="23"/>
        <item x="24"/>
        <item x="25"/>
        <item x="26"/>
        <item x="27"/>
        <item x="28"/>
        <item x="29"/>
        <item x="38"/>
        <item x="39"/>
        <item x="40"/>
        <item x="41"/>
        <item x="30"/>
        <item x="15"/>
        <item x="31"/>
        <item x="32"/>
        <item x="33"/>
        <item x="34"/>
        <item x="35"/>
        <item x="36"/>
        <item x="37"/>
        <item x="42"/>
        <item x="43"/>
        <item x="44"/>
        <item x="45"/>
        <item x="46"/>
        <item x="48"/>
        <item x="1"/>
        <item x="2"/>
        <item x="3"/>
        <item x="49"/>
        <item x="50"/>
        <item x="51"/>
        <item x="52"/>
        <item x="53"/>
        <item x="54"/>
        <item x="56"/>
        <item x="57"/>
        <item x="58"/>
        <item x="55"/>
        <item x="59"/>
        <item x="60"/>
        <item x="61"/>
        <item x="62"/>
        <item x="63"/>
        <item x="64"/>
        <item x="65"/>
        <item x="66"/>
        <item x="67"/>
        <item x="68"/>
        <item x="69"/>
        <item x="70"/>
        <item x="71"/>
        <item x="72"/>
        <item x="73"/>
        <item x="74"/>
        <item x="75"/>
        <item x="76"/>
        <item x="77"/>
        <item x="78"/>
        <item x="79"/>
        <item x="80"/>
        <item x="81"/>
        <item x="82"/>
        <item x="97"/>
        <item x="90"/>
        <item x="91"/>
        <item x="92"/>
        <item x="93"/>
        <item x="94"/>
        <item x="95"/>
        <item x="96"/>
        <item x="83"/>
        <item x="84"/>
        <item x="85"/>
        <item x="86"/>
        <item x="87"/>
        <item x="88"/>
        <item x="89"/>
      </items>
    </pivotField>
    <pivotField compact="0" outline="0" showAll="0"/>
    <pivotField compact="0" outline="0" showAll="0"/>
    <pivotField compact="0" outline="0" showAll="0"/>
    <pivotField compact="0" outline="0" showAll="0" sortType="ascending">
      <items count="18">
        <item h="1" x="0"/>
        <item h="1" x="1"/>
        <item h="1" x="2"/>
        <item h="1" x="3"/>
        <item h="1" x="4"/>
        <item h="1" x="6"/>
        <item h="1" x="5"/>
        <item x="7"/>
        <item h="1" x="8"/>
        <item h="1" x="9"/>
        <item h="1" x="10"/>
        <item h="1" x="11"/>
        <item h="1" x="12"/>
        <item h="1" x="13"/>
        <item h="1" x="14"/>
        <item h="1" x="15"/>
        <item h="1" x="16"/>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defaultSubtotal="0"/>
    <pivotField compact="0" outline="0" showAll="0"/>
    <pivotField compact="0" numFmtId="165" outline="0" showAll="0"/>
    <pivotField compact="0" outline="0" dragToRow="0" dragToCol="0" dragToPage="0" showAll="0" defaultSubtotal="0"/>
    <pivotField compact="0" outline="0" dragToRow="0" dragToCol="0" dragToPage="0" showAll="0" defaultSubtotal="0"/>
  </pivotFields>
  <formats count="21">
    <format dxfId="427">
      <pivotArea type="origin" dataOnly="0" labelOnly="1" outline="0" fieldPosition="0"/>
    </format>
    <format dxfId="426">
      <pivotArea type="all" dataOnly="0" outline="0" fieldPosition="0"/>
    </format>
    <format dxfId="425">
      <pivotArea type="all" dataOnly="0" outline="0" fieldPosition="0"/>
    </format>
    <format dxfId="424">
      <pivotArea type="all" dataOnly="0" outline="0" fieldPosition="0"/>
    </format>
    <format dxfId="423">
      <pivotArea outline="0" collapsedLevelsAreSubtotals="1" fieldPosition="0"/>
    </format>
    <format dxfId="422">
      <pivotArea type="all" dataOnly="0" outline="0" fieldPosition="0"/>
    </format>
    <format dxfId="421">
      <pivotArea outline="0" collapsedLevelsAreSubtotals="1" fieldPosition="0"/>
    </format>
    <format dxfId="420">
      <pivotArea outline="0" collapsedLevelsAreSubtotals="1" fieldPosition="0"/>
    </format>
    <format dxfId="419">
      <pivotArea type="all" dataOnly="0" outline="0" fieldPosition="0"/>
    </format>
    <format dxfId="418">
      <pivotArea outline="0" collapsedLevelsAreSubtotals="1" fieldPosition="0"/>
    </format>
    <format dxfId="417">
      <pivotArea type="all" dataOnly="0" outline="0" fieldPosition="0"/>
    </format>
    <format dxfId="416">
      <pivotArea outline="0" collapsedLevelsAreSubtotals="1" fieldPosition="0"/>
    </format>
    <format dxfId="415">
      <pivotArea type="all" dataOnly="0" outline="0" fieldPosition="0"/>
    </format>
    <format dxfId="414">
      <pivotArea outline="0" collapsedLevelsAreSubtotals="1" fieldPosition="0"/>
    </format>
    <format dxfId="413">
      <pivotArea field="-2" type="button" dataOnly="0" labelOnly="1" outline="0"/>
    </format>
    <format dxfId="412">
      <pivotArea type="all" dataOnly="0" outline="0" fieldPosition="0"/>
    </format>
    <format dxfId="411">
      <pivotArea outline="0" collapsedLevelsAreSubtotals="1" fieldPosition="0"/>
    </format>
    <format dxfId="410">
      <pivotArea type="origin" dataOnly="0" labelOnly="1" outline="0" fieldPosition="0"/>
    </format>
    <format dxfId="409">
      <pivotArea type="all" dataOnly="0" outline="0" fieldPosition="0"/>
    </format>
    <format dxfId="408">
      <pivotArea outline="0" collapsedLevelsAreSubtotals="1" fieldPosition="0"/>
    </format>
    <format dxfId="407">
      <pivotArea type="origin" dataOnly="0" labelOnly="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100-000002000000}" name="PivotTable3" cacheId="0" applyNumberFormats="0" applyBorderFormats="0" applyFontFormats="0" applyPatternFormats="0" applyAlignmentFormats="0" applyWidthHeightFormats="1" dataCaption="Values" updatedVersion="6" minRefreshableVersion="3" useAutoFormatting="1" rowGrandTotals="0" itemPrintTitles="1" createdVersion="5" indent="0" outline="1" outlineData="1" multipleFieldFilters="0">
  <location ref="D11:E12" firstHeaderRow="1" firstDataRow="1" firstDataCol="1"/>
  <pivotFields count="18">
    <pivotField showAll="0"/>
    <pivotField showAll="0"/>
    <pivotField showAll="0"/>
    <pivotField showAll="0"/>
    <pivotField axis="axisRow" showAll="0" sortType="descending">
      <items count="18">
        <item h="1" x="0"/>
        <item h="1" x="1"/>
        <item h="1" x="2"/>
        <item h="1" x="3"/>
        <item h="1" x="4"/>
        <item h="1" x="5"/>
        <item h="1" x="6"/>
        <item x="7"/>
        <item h="1" x="8"/>
        <item h="1" x="9"/>
        <item h="1" x="10"/>
        <item h="1" x="11"/>
        <item h="1" x="12"/>
        <item h="1" x="13"/>
        <item h="1" x="14"/>
        <item h="1" x="15"/>
        <item h="1" x="16"/>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defaultSubtotal="0"/>
    <pivotField dataField="1" showAll="0" defaultSubtotal="0"/>
    <pivotField showAll="0" defaultSubtotal="0"/>
    <pivotField showAll="0"/>
    <pivotField numFmtId="165" showAll="0"/>
    <pivotField dragToRow="0" dragToCol="0" dragToPage="0" showAll="0" defaultSubtotal="0"/>
    <pivotField dragToRow="0" dragToCol="0" dragToPage="0" showAll="0" defaultSubtotal="0"/>
  </pivotFields>
  <rowFields count="1">
    <field x="4"/>
  </rowFields>
  <rowItems count="1">
    <i>
      <x v="7"/>
    </i>
  </rowItems>
  <colItems count="1">
    <i/>
  </colItems>
  <dataFields count="1">
    <dataField name="Average of SPR" fld="12" subtotal="average" baseField="5" baseItem="0" numFmtId="2"/>
  </dataFields>
  <formats count="1">
    <format dxfId="42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100-000001000000}" name="PivotTable2" cacheId="0" applyNumberFormats="0" applyBorderFormats="0" applyFontFormats="0" applyPatternFormats="0" applyAlignmentFormats="0" applyWidthHeightFormats="1" dataCaption="Values" updatedVersion="6" minRefreshableVersion="3" useAutoFormatting="1" rowGrandTotals="0" itemPrintTitles="1" createdVersion="5" indent="0" outline="1" outlineData="1" multipleFieldFilters="0">
  <location ref="A11:B12" firstHeaderRow="1" firstDataRow="1" firstDataCol="1"/>
  <pivotFields count="18">
    <pivotField showAll="0"/>
    <pivotField showAll="0"/>
    <pivotField showAll="0"/>
    <pivotField showAll="0"/>
    <pivotField axis="axisRow" showAll="0" sortType="descending">
      <items count="18">
        <item h="1" x="0"/>
        <item h="1" x="1"/>
        <item h="1" x="2"/>
        <item h="1" x="3"/>
        <item h="1" x="4"/>
        <item h="1" x="5"/>
        <item h="1" x="6"/>
        <item x="7"/>
        <item h="1" x="8"/>
        <item h="1" x="9"/>
        <item h="1" x="10"/>
        <item h="1" x="11"/>
        <item h="1" x="12"/>
        <item h="1" x="13"/>
        <item h="1" x="14"/>
        <item h="1" x="15"/>
        <item h="1" x="16"/>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dataField="1" showAll="0" defaultSubtotal="0"/>
    <pivotField showAll="0" defaultSubtotal="0"/>
    <pivotField showAll="0" defaultSubtotal="0"/>
    <pivotField showAll="0"/>
    <pivotField numFmtId="165" showAll="0"/>
    <pivotField dragToRow="0" dragToCol="0" dragToPage="0" showAll="0" defaultSubtotal="0"/>
    <pivotField dragToRow="0" dragToCol="0" dragToPage="0" showAll="0" defaultSubtotal="0"/>
  </pivotFields>
  <rowFields count="1">
    <field x="4"/>
  </rowFields>
  <rowItems count="1">
    <i>
      <x v="7"/>
    </i>
  </rowItems>
  <colItems count="1">
    <i/>
  </colItems>
  <dataFields count="1">
    <dataField name="Average of Productivity" fld="11" subtotal="average" baseField="0" baseItem="5" numFmtId="2"/>
  </dataFields>
  <formats count="1">
    <format dxfId="429">
      <pivotArea outline="0" collapsedLevelsAreSubtotals="1" fieldPosition="0">
        <references count="1">
          <reference field="4294967294" count="1" selected="0">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Table1"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A3:H4" firstHeaderRow="0" firstDataRow="1" firstDataCol="0"/>
  <pivotFields count="18">
    <pivotField showAll="0"/>
    <pivotField showAll="0"/>
    <pivotField showAll="0"/>
    <pivotField dataField="1" showAll="0"/>
    <pivotField showAll="0">
      <items count="18">
        <item h="1" x="0"/>
        <item h="1" x="1"/>
        <item h="1" x="2"/>
        <item h="1" x="3"/>
        <item h="1" x="4"/>
        <item h="1" x="6"/>
        <item h="1" x="5"/>
        <item x="7"/>
        <item h="1" x="8"/>
        <item h="1" x="9"/>
        <item h="1" x="10"/>
        <item h="1" x="11"/>
        <item h="1" x="12"/>
        <item h="1" x="13"/>
        <item h="1" x="14"/>
        <item h="1" x="15"/>
        <item h="1" x="16"/>
        <item t="default"/>
      </items>
    </pivotField>
    <pivotField dataField="1" showAll="0"/>
    <pivotField showAll="0"/>
    <pivotField showAll="0"/>
    <pivotField dataField="1" showAll="0"/>
    <pivotField dataField="1" showAll="0"/>
    <pivotField dataField="1" showAll="0"/>
    <pivotField dataField="1" showAll="0" defaultSubtotal="0"/>
    <pivotField dataField="1" showAll="0" defaultSubtotal="0"/>
    <pivotField showAll="0" defaultSubtotal="0"/>
    <pivotField showAll="0"/>
    <pivotField numFmtId="165" showAll="0"/>
    <pivotField dataField="1" dragToRow="0" dragToCol="0" dragToPage="0" showAll="0" defaultSubtotal="0"/>
    <pivotField dragToRow="0" dragToCol="0" dragToPage="0" showAll="0" defaultSubtotal="0"/>
  </pivotFields>
  <rowItems count="1">
    <i/>
  </rowItems>
  <colFields count="1">
    <field x="-2"/>
  </colFields>
  <colItems count="8">
    <i>
      <x/>
    </i>
    <i i="1">
      <x v="1"/>
    </i>
    <i i="2">
      <x v="2"/>
    </i>
    <i i="3">
      <x v="3"/>
    </i>
    <i i="4">
      <x v="4"/>
    </i>
    <i i="5">
      <x v="5"/>
    </i>
    <i i="6">
      <x v="6"/>
    </i>
    <i i="7">
      <x v="7"/>
    </i>
  </colItems>
  <dataFields count="8">
    <dataField name="Count of User" fld="3" subtotal="count" baseField="0" baseItem="1"/>
    <dataField name="# Int Submittals" fld="5" baseField="0" baseItem="0"/>
    <dataField name="#  Ext Submittal" fld="8" baseField="0" baseItem="0"/>
    <dataField name="# Interviews" fld="9" baseField="0" baseItem="0"/>
    <dataField name=" # Starts" fld="10" baseField="0" baseItem="0"/>
    <dataField name="Average of Productivity" fld="11" subtotal="average" baseField="0" baseItem="5" numFmtId="2"/>
    <dataField name=" SPR (Monthly)" fld="12" subtotal="average" baseField="0" baseItem="6" numFmtId="2"/>
    <dataField name="Sum of  Conv Rate" fld="16" baseField="0" baseItem="0" numFmtId="1"/>
  </dataFields>
  <formats count="2">
    <format dxfId="431">
      <pivotArea outline="0" collapsedLevelsAreSubtotals="1" fieldPosition="0">
        <references count="1">
          <reference field="4294967294" count="1" selected="0">
            <x v="7"/>
          </reference>
        </references>
      </pivotArea>
    </format>
    <format dxfId="430">
      <pivotArea outline="0" collapsedLevelsAreSubtotals="1" fieldPosition="0">
        <references count="1">
          <reference field="4294967294" count="2" selected="0">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1" cacheId="0" applyNumberFormats="0" applyBorderFormats="0" applyFontFormats="0" applyPatternFormats="0" applyAlignmentFormats="0" applyWidthHeightFormats="1" dataCaption="Values" updatedVersion="6" minRefreshableVersion="3" rowGrandTotals="0" itemPrintTitles="1" createdVersion="5" indent="0" compact="0" compactData="0" gridDropZones="1" multipleFieldFilters="0">
  <location ref="E8:M32" firstHeaderRow="1" firstDataRow="2" firstDataCol="1"/>
  <pivotFields count="18">
    <pivotField compact="0" outline="0" showAll="0" sortType="ascending" defaultSubtotal="0">
      <items count="98">
        <item x="0"/>
        <item x="47"/>
        <item x="4"/>
        <item x="5"/>
        <item x="6"/>
        <item x="7"/>
        <item x="8"/>
        <item x="9"/>
        <item x="10"/>
        <item x="11"/>
        <item x="12"/>
        <item x="13"/>
        <item x="14"/>
        <item x="16"/>
        <item x="17"/>
        <item x="18"/>
        <item x="19"/>
        <item x="20"/>
        <item x="21"/>
        <item x="22"/>
        <item x="23"/>
        <item x="24"/>
        <item x="25"/>
        <item x="26"/>
        <item x="27"/>
        <item x="28"/>
        <item x="29"/>
        <item x="38"/>
        <item x="39"/>
        <item x="40"/>
        <item x="41"/>
        <item x="30"/>
        <item x="15"/>
        <item x="31"/>
        <item x="32"/>
        <item x="33"/>
        <item x="34"/>
        <item x="35"/>
        <item x="36"/>
        <item x="37"/>
        <item x="42"/>
        <item x="43"/>
        <item x="44"/>
        <item x="45"/>
        <item x="46"/>
        <item x="48"/>
        <item x="1"/>
        <item x="2"/>
        <item x="3"/>
        <item x="49"/>
        <item x="50"/>
        <item x="51"/>
        <item x="52"/>
        <item x="53"/>
        <item x="54"/>
        <item x="56"/>
        <item x="57"/>
        <item x="58"/>
        <item x="55"/>
        <item x="59"/>
        <item x="60"/>
        <item x="61"/>
        <item x="62"/>
        <item x="63"/>
        <item x="64"/>
        <item x="65"/>
        <item x="66"/>
        <item x="67"/>
        <item x="68"/>
        <item x="69"/>
        <item x="70"/>
        <item x="71"/>
        <item x="72"/>
        <item x="73"/>
        <item x="74"/>
        <item x="75"/>
        <item x="76"/>
        <item x="77"/>
        <item x="78"/>
        <item x="79"/>
        <item x="80"/>
        <item x="81"/>
        <item x="82"/>
        <item x="97"/>
        <item x="90"/>
        <item x="91"/>
        <item x="92"/>
        <item x="93"/>
        <item x="94"/>
        <item x="95"/>
        <item x="96"/>
        <item x="83"/>
        <item x="84"/>
        <item x="85"/>
        <item x="86"/>
        <item x="87"/>
        <item x="88"/>
        <item x="89"/>
      </items>
      <autoSortScope>
        <pivotArea dataOnly="0" outline="0" fieldPosition="0">
          <references count="1">
            <reference field="4294967294" count="1" selected="0">
              <x v="1"/>
            </reference>
          </references>
        </pivotArea>
      </autoSortScope>
    </pivotField>
    <pivotField compact="0" outline="0" showAll="0"/>
    <pivotField compact="0" outline="0" showAll="0"/>
    <pivotField axis="axisRow" compact="0" outline="0" showAll="0" sortType="ascending" defaultSubtotal="0">
      <items count="367">
        <item x="241"/>
        <item x="324"/>
        <item x="357"/>
        <item x="123"/>
        <item x="243"/>
        <item x="24"/>
        <item x="79"/>
        <item x="66"/>
        <item x="210"/>
        <item x="360"/>
        <item x="77"/>
        <item x="288"/>
        <item x="98"/>
        <item x="128"/>
        <item x="363"/>
        <item x="25"/>
        <item x="285"/>
        <item x="314"/>
        <item x="53"/>
        <item x="69"/>
        <item x="252"/>
        <item x="26"/>
        <item x="92"/>
        <item x="344"/>
        <item x="194"/>
        <item x="262"/>
        <item x="321"/>
        <item x="211"/>
        <item x="157"/>
        <item x="300"/>
        <item x="216"/>
        <item x="213"/>
        <item x="297"/>
        <item x="89"/>
        <item x="110"/>
        <item x="205"/>
        <item x="160"/>
        <item x="33"/>
        <item x="34"/>
        <item x="238"/>
        <item x="144"/>
        <item x="352"/>
        <item x="85"/>
        <item x="349"/>
        <item x="74"/>
        <item x="248"/>
        <item x="4"/>
        <item x="192"/>
        <item x="258"/>
        <item x="187"/>
        <item x="311"/>
        <item x="152"/>
        <item x="240"/>
        <item x="68"/>
        <item x="78"/>
        <item x="340"/>
        <item x="189"/>
        <item x="111"/>
        <item x="109"/>
        <item x="146"/>
        <item x="21"/>
        <item x="301"/>
        <item x="183"/>
        <item x="214"/>
        <item x="127"/>
        <item x="268"/>
        <item x="112"/>
        <item x="247"/>
        <item x="347"/>
        <item x="80"/>
        <item x="289"/>
        <item x="231"/>
        <item x="44"/>
        <item x="212"/>
        <item x="35"/>
        <item x="190"/>
        <item x="276"/>
        <item x="141"/>
        <item x="149"/>
        <item x="298"/>
        <item x="181"/>
        <item x="223"/>
        <item x="180"/>
        <item x="40"/>
        <item x="345"/>
        <item x="274"/>
        <item x="296"/>
        <item x="331"/>
        <item x="261"/>
        <item x="290"/>
        <item x="96"/>
        <item x="145"/>
        <item x="346"/>
        <item x="337"/>
        <item x="338"/>
        <item x="42"/>
        <item x="270"/>
        <item x="259"/>
        <item x="0"/>
        <item x="237"/>
        <item x="193"/>
        <item x="86"/>
        <item x="49"/>
        <item x="102"/>
        <item x="269"/>
        <item x="316"/>
        <item x="90"/>
        <item x="215"/>
        <item x="195"/>
        <item x="304"/>
        <item x="293"/>
        <item x="14"/>
        <item x="76"/>
        <item x="199"/>
        <item x="65"/>
        <item x="264"/>
        <item x="147"/>
        <item x="6"/>
        <item x="249"/>
        <item x="217"/>
        <item x="137"/>
        <item x="355"/>
        <item x="106"/>
        <item x="364"/>
        <item x="167"/>
        <item x="151"/>
        <item x="27"/>
        <item x="130"/>
        <item x="138"/>
        <item x="305"/>
        <item x="219"/>
        <item x="28"/>
        <item x="88"/>
        <item x="7"/>
        <item x="171"/>
        <item x="43"/>
        <item x="17"/>
        <item x="59"/>
        <item x="302"/>
        <item x="135"/>
        <item x="22"/>
        <item x="8"/>
        <item x="159"/>
        <item x="82"/>
        <item x="93"/>
        <item x="126"/>
        <item x="348"/>
        <item x="265"/>
        <item x="54"/>
        <item x="306"/>
        <item x="291"/>
        <item x="172"/>
        <item x="163"/>
        <item x="156"/>
        <item x="72"/>
        <item x="233"/>
        <item x="125"/>
        <item x="286"/>
        <item x="266"/>
        <item x="5"/>
        <item x="295"/>
        <item x="318"/>
        <item x="179"/>
        <item x="279"/>
        <item x="307"/>
        <item x="198"/>
        <item x="230"/>
        <item x="45"/>
        <item x="235"/>
        <item x="153"/>
        <item x="115"/>
        <item x="354"/>
        <item x="362"/>
        <item x="332"/>
        <item x="224"/>
        <item x="239"/>
        <item x="280"/>
        <item x="244"/>
        <item x="275"/>
        <item x="117"/>
        <item x="91"/>
        <item x="263"/>
        <item x="303"/>
        <item x="30"/>
        <item x="245"/>
        <item x="236"/>
        <item x="60"/>
        <item x="97"/>
        <item x="136"/>
        <item x="184"/>
        <item x="101"/>
        <item x="284"/>
        <item x="361"/>
        <item x="358"/>
        <item x="255"/>
        <item x="70"/>
        <item x="158"/>
        <item x="155"/>
        <item x="15"/>
        <item x="168"/>
        <item x="32"/>
        <item x="9"/>
        <item x="250"/>
        <item x="366"/>
        <item x="202"/>
        <item x="150"/>
        <item x="325"/>
        <item x="84"/>
        <item x="253"/>
        <item x="142"/>
        <item x="169"/>
        <item x="323"/>
        <item x="36"/>
        <item x="222"/>
        <item x="271"/>
        <item x="63"/>
        <item x="225"/>
        <item x="140"/>
        <item x="200"/>
        <item x="342"/>
        <item x="11"/>
        <item x="83"/>
        <item x="165"/>
        <item x="61"/>
        <item x="1"/>
        <item x="254"/>
        <item x="18"/>
        <item x="122"/>
        <item x="206"/>
        <item x="229"/>
        <item x="162"/>
        <item x="182"/>
        <item x="148"/>
        <item x="256"/>
        <item x="322"/>
        <item x="116"/>
        <item x="251"/>
        <item x="99"/>
        <item x="197"/>
        <item x="319"/>
        <item x="267"/>
        <item x="333"/>
        <item x="226"/>
        <item x="134"/>
        <item x="281"/>
        <item x="52"/>
        <item x="12"/>
        <item x="221"/>
        <item x="299"/>
        <item x="124"/>
        <item x="273"/>
        <item x="37"/>
        <item x="143"/>
        <item x="242"/>
        <item x="234"/>
        <item x="67"/>
        <item x="272"/>
        <item x="292"/>
        <item x="170"/>
        <item x="227"/>
        <item x="47"/>
        <item x="207"/>
        <item x="201"/>
        <item x="294"/>
        <item x="365"/>
        <item x="326"/>
        <item x="185"/>
        <item x="278"/>
        <item x="277"/>
        <item x="308"/>
        <item x="327"/>
        <item x="121"/>
        <item x="164"/>
        <item x="119"/>
        <item x="310"/>
        <item x="339"/>
        <item x="103"/>
        <item x="341"/>
        <item x="196"/>
        <item x="312"/>
        <item x="73"/>
        <item x="191"/>
        <item x="62"/>
        <item x="46"/>
        <item x="283"/>
        <item x="334"/>
        <item x="282"/>
        <item x="328"/>
        <item x="94"/>
        <item x="48"/>
        <item x="129"/>
        <item x="3"/>
        <item x="19"/>
        <item x="330"/>
        <item x="246"/>
        <item x="232"/>
        <item x="29"/>
        <item x="120"/>
        <item x="177"/>
        <item x="55"/>
        <item x="309"/>
        <item x="58"/>
        <item x="95"/>
        <item x="317"/>
        <item x="139"/>
        <item x="2"/>
        <item x="38"/>
        <item x="313"/>
        <item x="133"/>
        <item x="131"/>
        <item x="203"/>
        <item x="105"/>
        <item x="356"/>
        <item x="228"/>
        <item x="218"/>
        <item x="20"/>
        <item x="320"/>
        <item x="51"/>
        <item x="10"/>
        <item x="257"/>
        <item x="176"/>
        <item x="260"/>
        <item x="175"/>
        <item x="39"/>
        <item x="87"/>
        <item x="220"/>
        <item x="329"/>
        <item x="166"/>
        <item x="56"/>
        <item x="64"/>
        <item x="75"/>
        <item x="350"/>
        <item x="50"/>
        <item x="104"/>
        <item x="315"/>
        <item x="353"/>
        <item x="23"/>
        <item x="188"/>
        <item x="173"/>
        <item x="351"/>
        <item x="359"/>
        <item x="100"/>
        <item x="178"/>
        <item x="57"/>
        <item x="16"/>
        <item x="13"/>
        <item x="204"/>
        <item x="343"/>
        <item x="335"/>
        <item x="108"/>
        <item x="107"/>
        <item x="208"/>
        <item x="132"/>
        <item x="209"/>
        <item x="174"/>
        <item x="154"/>
        <item x="287"/>
        <item x="161"/>
        <item x="41"/>
        <item x="81"/>
        <item x="31"/>
        <item x="114"/>
        <item x="336"/>
        <item x="113"/>
        <item x="118"/>
        <item x="71"/>
        <item x="186"/>
      </items>
    </pivotField>
    <pivotField compact="0" outline="0" showAll="0">
      <items count="18">
        <item h="1" x="0"/>
        <item h="1" x="1"/>
        <item h="1" x="2"/>
        <item h="1" x="3"/>
        <item h="1" x="4"/>
        <item h="1" x="6"/>
        <item h="1" x="5"/>
        <item x="7"/>
        <item h="1" x="8"/>
        <item h="1" x="9"/>
        <item h="1" x="10"/>
        <item h="1" x="11"/>
        <item h="1" x="12"/>
        <item h="1" x="13"/>
        <item h="1" x="14"/>
        <item h="1" x="15"/>
        <item h="1" x="16"/>
        <item t="default"/>
      </items>
    </pivotField>
    <pivotField dataField="1" compact="0" outline="0" showAll="0"/>
    <pivotField compact="0" outline="0" showAll="0"/>
    <pivotField compact="0" outline="0" showAll="0"/>
    <pivotField dataField="1" compact="0" outline="0" showAll="0"/>
    <pivotField dataField="1" compact="0" outline="0" showAll="0"/>
    <pivotField dataField="1" compact="0" outline="0" showAll="0"/>
    <pivotField dataField="1" compact="0" outline="0" showAll="0" defaultSubtotal="0"/>
    <pivotField dataField="1" compact="0" outline="0" showAll="0" defaultSubtotal="0"/>
    <pivotField compact="0" outline="0" showAll="0" defaultSubtotal="0"/>
    <pivotField dataField="1" compact="0" outline="0" showAll="0"/>
    <pivotField compact="0" numFmtId="165" outline="0" showAll="0"/>
    <pivotField dataField="1" compact="0" outline="0" dragToRow="0" dragToCol="0" dragToPage="0" showAll="0" defaultSubtotal="0"/>
    <pivotField compact="0" outline="0" dragToRow="0" dragToCol="0" dragToPage="0" showAll="0" defaultSubtotal="0"/>
  </pivotFields>
  <rowFields count="1">
    <field x="3"/>
  </rowFields>
  <rowItems count="23">
    <i>
      <x v="28"/>
    </i>
    <i>
      <x v="36"/>
    </i>
    <i>
      <x v="40"/>
    </i>
    <i>
      <x v="51"/>
    </i>
    <i>
      <x v="59"/>
    </i>
    <i>
      <x v="78"/>
    </i>
    <i>
      <x v="91"/>
    </i>
    <i>
      <x v="116"/>
    </i>
    <i>
      <x v="125"/>
    </i>
    <i>
      <x v="142"/>
    </i>
    <i>
      <x v="152"/>
    </i>
    <i>
      <x v="153"/>
    </i>
    <i>
      <x v="169"/>
    </i>
    <i>
      <x v="196"/>
    </i>
    <i>
      <x v="197"/>
    </i>
    <i>
      <x v="205"/>
    </i>
    <i>
      <x v="222"/>
    </i>
    <i>
      <x v="230"/>
    </i>
    <i>
      <x v="232"/>
    </i>
    <i>
      <x v="272"/>
    </i>
    <i>
      <x v="327"/>
    </i>
    <i>
      <x v="355"/>
    </i>
    <i>
      <x v="357"/>
    </i>
  </rowItems>
  <colFields count="1">
    <field x="-2"/>
  </colFields>
  <colItems count="8">
    <i>
      <x/>
    </i>
    <i i="1">
      <x v="1"/>
    </i>
    <i i="2">
      <x v="2"/>
    </i>
    <i i="3">
      <x v="3"/>
    </i>
    <i i="4">
      <x v="4"/>
    </i>
    <i i="5">
      <x v="5"/>
    </i>
    <i i="6">
      <x v="6"/>
    </i>
    <i i="7">
      <x v="7"/>
    </i>
  </colItems>
  <dataFields count="8">
    <dataField name="Sum of Notes" fld="14" baseField="0" baseItem="0"/>
    <dataField name="Int Sub" fld="5" baseField="0" baseItem="0"/>
    <dataField name="Ext Sub" fld="8" baseField="0" baseItem="0"/>
    <dataField name="Interviews " fld="9" baseField="0" baseItem="0"/>
    <dataField name="Starts " fld="10" baseField="0" baseItem="0"/>
    <dataField name="Productivity " fld="11" subtotal="average" baseField="0" baseItem="5" numFmtId="2"/>
    <dataField name="SPR " fld="12" subtotal="average" baseField="0" baseItem="6" numFmtId="2"/>
    <dataField name="Conv Rate " fld="16" baseField="0" baseItem="0" numFmtId="1"/>
  </dataFields>
  <formats count="25">
    <format dxfId="374">
      <pivotArea outline="0" collapsedLevelsAreSubtotals="1" fieldPosition="0">
        <references count="1">
          <reference field="4294967294" count="1" selected="0">
            <x v="7"/>
          </reference>
        </references>
      </pivotArea>
    </format>
    <format dxfId="373">
      <pivotArea dataOnly="0" labelOnly="1" outline="0" fieldPosition="0">
        <references count="1">
          <reference field="4294967294" count="1">
            <x v="7"/>
          </reference>
        </references>
      </pivotArea>
    </format>
    <format dxfId="372">
      <pivotArea dataOnly="0" labelOnly="1" outline="0" fieldPosition="0">
        <references count="1">
          <reference field="4294967294" count="7">
            <x v="1"/>
            <x v="2"/>
            <x v="3"/>
            <x v="4"/>
            <x v="5"/>
            <x v="6"/>
            <x v="7"/>
          </reference>
        </references>
      </pivotArea>
    </format>
    <format dxfId="371">
      <pivotArea type="origin" dataOnly="0" labelOnly="1" outline="0" fieldPosition="0"/>
    </format>
    <format dxfId="370">
      <pivotArea outline="0" fieldPosition="0">
        <references count="1">
          <reference field="4294967294" count="1" selected="0">
            <x v="5"/>
          </reference>
        </references>
      </pivotArea>
    </format>
    <format dxfId="369">
      <pivotArea outline="0" fieldPosition="0">
        <references count="1">
          <reference field="4294967294" count="1" selected="0">
            <x v="6"/>
          </reference>
        </references>
      </pivotArea>
    </format>
    <format dxfId="368">
      <pivotArea dataOnly="0" labelOnly="1" outline="0" fieldPosition="0">
        <references count="1">
          <reference field="3" count="0"/>
        </references>
      </pivotArea>
    </format>
    <format dxfId="367">
      <pivotArea type="all" dataOnly="0" outline="0" fieldPosition="0"/>
    </format>
    <format dxfId="366">
      <pivotArea type="all" dataOnly="0" outline="0" fieldPosition="0"/>
    </format>
    <format dxfId="365">
      <pivotArea type="all" dataOnly="0" outline="0" fieldPosition="0"/>
    </format>
    <format dxfId="364">
      <pivotArea outline="0" collapsedLevelsAreSubtotals="1" fieldPosition="0"/>
    </format>
    <format dxfId="363">
      <pivotArea type="origin" dataOnly="0" labelOnly="1" outline="0" fieldPosition="0"/>
    </format>
    <format dxfId="362">
      <pivotArea type="all" dataOnly="0" outline="0" fieldPosition="0"/>
    </format>
    <format dxfId="361">
      <pivotArea outline="0" collapsedLevelsAreSubtotals="1" fieldPosition="0"/>
    </format>
    <format dxfId="360">
      <pivotArea outline="0" collapsedLevelsAreSubtotals="1" fieldPosition="0"/>
    </format>
    <format dxfId="359">
      <pivotArea type="all" dataOnly="0" outline="0" fieldPosition="0"/>
    </format>
    <format dxfId="358">
      <pivotArea outline="0" collapsedLevelsAreSubtotals="1" fieldPosition="0"/>
    </format>
    <format dxfId="357">
      <pivotArea type="all" dataOnly="0" outline="0" fieldPosition="0"/>
    </format>
    <format dxfId="356">
      <pivotArea outline="0" collapsedLevelsAreSubtotals="1" fieldPosition="0"/>
    </format>
    <format dxfId="355">
      <pivotArea dataOnly="0" labelOnly="1" outline="0" fieldPosition="0">
        <references count="1">
          <reference field="4294967294" count="7">
            <x v="1"/>
            <x v="2"/>
            <x v="3"/>
            <x v="4"/>
            <x v="5"/>
            <x v="6"/>
            <x v="7"/>
          </reference>
        </references>
      </pivotArea>
    </format>
    <format dxfId="354">
      <pivotArea type="all" dataOnly="0" outline="0" fieldPosition="0"/>
    </format>
    <format dxfId="353">
      <pivotArea dataOnly="0" labelOnly="1" outline="0" fieldPosition="0">
        <references count="1">
          <reference field="4294967294" count="7">
            <x v="1"/>
            <x v="2"/>
            <x v="3"/>
            <x v="4"/>
            <x v="5"/>
            <x v="6"/>
            <x v="7"/>
          </reference>
        </references>
      </pivotArea>
    </format>
    <format dxfId="352">
      <pivotArea field="-2" type="button" dataOnly="0" labelOnly="1" outline="0" axis="axisCol" fieldPosition="0"/>
    </format>
    <format dxfId="351">
      <pivotArea outline="0" collapsedLevelsAreSubtotals="1" fieldPosition="0"/>
    </format>
    <format dxfId="350">
      <pivotArea dataOnly="0" labelOnly="1" outline="0" fieldPosition="0">
        <references count="1">
          <reference field="3"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A0D479DB-993C-4507-B095-2B5115FE87F8}" name="PivotTable1" cacheId="1" dataOnRows="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8">
  <location ref="A3:S7" firstHeaderRow="1" firstDataRow="2" firstDataCol="1"/>
  <pivotFields count="21">
    <pivotField showAll="0"/>
    <pivotField axis="axisCol" showAll="0">
      <items count="19">
        <item x="0"/>
        <item x="1"/>
        <item x="2"/>
        <item x="3"/>
        <item x="4"/>
        <item x="6"/>
        <item x="5"/>
        <item x="7"/>
        <item x="8"/>
        <item x="9"/>
        <item x="10"/>
        <item x="11"/>
        <item x="12"/>
        <item x="13"/>
        <item m="1" x="17"/>
        <item x="14"/>
        <item x="15"/>
        <item x="16"/>
        <item t="default"/>
      </items>
    </pivotField>
    <pivotField showAll="0"/>
    <pivotField showAll="0"/>
    <pivotField showAll="0"/>
    <pivotField showAll="0"/>
    <pivotField showAll="0"/>
    <pivotField showAll="0"/>
    <pivotField numFmtId="2" showAll="0"/>
    <pivotField numFmtId="2" showAll="0"/>
    <pivotField showAll="0"/>
    <pivotField showAll="0"/>
    <pivotField numFmtId="165" showAll="0"/>
    <pivotField showAll="0"/>
    <pivotField showAll="0"/>
    <pivotField showAll="0"/>
    <pivotField showAll="0"/>
    <pivotField showAll="0"/>
    <pivotField dataField="1" showAll="0"/>
    <pivotField dataField="1" showAll="0"/>
    <pivotField dataField="1" showAll="0"/>
  </pivotFields>
  <rowFields count="1">
    <field x="-2"/>
  </rowFields>
  <rowItems count="3">
    <i>
      <x/>
    </i>
    <i i="1">
      <x v="1"/>
    </i>
    <i i="2">
      <x v="2"/>
    </i>
  </rowItems>
  <colFields count="1">
    <field x="1"/>
  </colFields>
  <colItems count="18">
    <i>
      <x/>
    </i>
    <i>
      <x v="1"/>
    </i>
    <i>
      <x v="2"/>
    </i>
    <i>
      <x v="3"/>
    </i>
    <i>
      <x v="4"/>
    </i>
    <i>
      <x v="5"/>
    </i>
    <i>
      <x v="6"/>
    </i>
    <i>
      <x v="7"/>
    </i>
    <i>
      <x v="8"/>
    </i>
    <i>
      <x v="9"/>
    </i>
    <i>
      <x v="10"/>
    </i>
    <i>
      <x v="11"/>
    </i>
    <i>
      <x v="12"/>
    </i>
    <i>
      <x v="13"/>
    </i>
    <i>
      <x v="15"/>
    </i>
    <i>
      <x v="16"/>
    </i>
    <i>
      <x v="17"/>
    </i>
    <i t="grand">
      <x/>
    </i>
  </colItems>
  <dataFields count="3">
    <dataField name=" June'23" fld="18" baseField="0" baseItem="0"/>
    <dataField name=" Jul'23" fld="19" baseField="0" baseItem="0"/>
    <dataField name=" Aug'23" fld="20" baseField="0" baseItem="0"/>
  </dataFields>
  <formats count="2">
    <format dxfId="349">
      <pivotArea outline="0" collapsedLevelsAreSubtotals="1" fieldPosition="0"/>
    </format>
    <format dxfId="348">
      <pivotArea dataOnly="0" labelOnly="1" outline="0" fieldPosition="0">
        <references count="1">
          <reference field="4294967294" count="3">
            <x v="0"/>
            <x v="1"/>
            <x v="2"/>
          </reference>
        </references>
      </pivotArea>
    </format>
  </formats>
  <chartFormats count="38">
    <chartFormat chart="4" format="0"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1"/>
          </reference>
        </references>
      </pivotArea>
    </chartFormat>
    <chartFormat chart="4" format="2" series="1">
      <pivotArea type="data" outline="0" fieldPosition="0">
        <references count="1">
          <reference field="4294967294" count="1" selected="0">
            <x v="2"/>
          </reference>
        </references>
      </pivotArea>
    </chartFormat>
    <chartFormat chart="4" format="3" series="1">
      <pivotArea type="data" outline="0" fieldPosition="0">
        <references count="2">
          <reference field="4294967294" count="1" selected="0">
            <x v="0"/>
          </reference>
          <reference field="1" count="1" selected="0">
            <x v="3"/>
          </reference>
        </references>
      </pivotArea>
    </chartFormat>
    <chartFormat chart="4" format="4" series="1">
      <pivotArea type="data" outline="0" fieldPosition="0">
        <references count="2">
          <reference field="4294967294" count="1" selected="0">
            <x v="0"/>
          </reference>
          <reference field="1" count="1" selected="0">
            <x v="4"/>
          </reference>
        </references>
      </pivotArea>
    </chartFormat>
    <chartFormat chart="4" format="5" series="1">
      <pivotArea type="data" outline="0" fieldPosition="0">
        <references count="2">
          <reference field="4294967294" count="1" selected="0">
            <x v="0"/>
          </reference>
          <reference field="1" count="1" selected="0">
            <x v="5"/>
          </reference>
        </references>
      </pivotArea>
    </chartFormat>
    <chartFormat chart="4" format="6" series="1">
      <pivotArea type="data" outline="0" fieldPosition="0">
        <references count="2">
          <reference field="4294967294" count="1" selected="0">
            <x v="0"/>
          </reference>
          <reference field="1" count="1" selected="0">
            <x v="6"/>
          </reference>
        </references>
      </pivotArea>
    </chartFormat>
    <chartFormat chart="4" format="7" series="1">
      <pivotArea type="data" outline="0" fieldPosition="0">
        <references count="2">
          <reference field="4294967294" count="1" selected="0">
            <x v="0"/>
          </reference>
          <reference field="1" count="1" selected="0">
            <x v="7"/>
          </reference>
        </references>
      </pivotArea>
    </chartFormat>
    <chartFormat chart="4" format="8" series="1">
      <pivotArea type="data" outline="0" fieldPosition="0">
        <references count="2">
          <reference field="4294967294" count="1" selected="0">
            <x v="0"/>
          </reference>
          <reference field="1" count="1" selected="0">
            <x v="8"/>
          </reference>
        </references>
      </pivotArea>
    </chartFormat>
    <chartFormat chart="4" format="9" series="1">
      <pivotArea type="data" outline="0" fieldPosition="0">
        <references count="2">
          <reference field="4294967294" count="1" selected="0">
            <x v="0"/>
          </reference>
          <reference field="1" count="1" selected="0">
            <x v="9"/>
          </reference>
        </references>
      </pivotArea>
    </chartFormat>
    <chartFormat chart="4" format="10" series="1">
      <pivotArea type="data" outline="0" fieldPosition="0">
        <references count="2">
          <reference field="4294967294" count="1" selected="0">
            <x v="0"/>
          </reference>
          <reference field="1" count="1" selected="0">
            <x v="10"/>
          </reference>
        </references>
      </pivotArea>
    </chartFormat>
    <chartFormat chart="4" format="11" series="1">
      <pivotArea type="data" outline="0" fieldPosition="0">
        <references count="2">
          <reference field="4294967294" count="1" selected="0">
            <x v="0"/>
          </reference>
          <reference field="1" count="1" selected="0">
            <x v="11"/>
          </reference>
        </references>
      </pivotArea>
    </chartFormat>
    <chartFormat chart="4" format="12" series="1">
      <pivotArea type="data" outline="0" fieldPosition="0">
        <references count="2">
          <reference field="4294967294" count="1" selected="0">
            <x v="0"/>
          </reference>
          <reference field="1" count="1" selected="0">
            <x v="12"/>
          </reference>
        </references>
      </pivotArea>
    </chartFormat>
    <chartFormat chart="4" format="13" series="1">
      <pivotArea type="data" outline="0" fieldPosition="0">
        <references count="2">
          <reference field="4294967294" count="1" selected="0">
            <x v="0"/>
          </reference>
          <reference field="1" count="1" selected="0">
            <x v="13"/>
          </reference>
        </references>
      </pivotArea>
    </chartFormat>
    <chartFormat chart="4" format="14" series="1">
      <pivotArea type="data" outline="0" fieldPosition="0">
        <references count="2">
          <reference field="4294967294" count="1" selected="0">
            <x v="0"/>
          </reference>
          <reference field="1" count="1" selected="0">
            <x v="14"/>
          </reference>
        </references>
      </pivotArea>
    </chartFormat>
    <chartFormat chart="4" format="15" series="1">
      <pivotArea type="data" outline="0" fieldPosition="0">
        <references count="2">
          <reference field="4294967294" count="1" selected="0">
            <x v="0"/>
          </reference>
          <reference field="1" count="1" selected="0">
            <x v="15"/>
          </reference>
        </references>
      </pivotArea>
    </chartFormat>
    <chartFormat chart="4" format="16" series="1">
      <pivotArea type="data" outline="0" fieldPosition="0">
        <references count="2">
          <reference field="4294967294" count="1" selected="0">
            <x v="0"/>
          </reference>
          <reference field="1" count="1" selected="0">
            <x v="16"/>
          </reference>
        </references>
      </pivotArea>
    </chartFormat>
    <chartFormat chart="4" format="17" series="1">
      <pivotArea type="data" outline="0" fieldPosition="0">
        <references count="2">
          <reference field="4294967294" count="1" selected="0">
            <x v="0"/>
          </reference>
          <reference field="1" count="1" selected="0">
            <x v="17"/>
          </reference>
        </references>
      </pivotArea>
    </chartFormat>
    <chartFormat chart="4" format="18" series="1">
      <pivotArea type="data" outline="0" fieldPosition="0">
        <references count="2">
          <reference field="4294967294" count="1" selected="0">
            <x v="0"/>
          </reference>
          <reference field="1" count="1" selected="0">
            <x v="1"/>
          </reference>
        </references>
      </pivotArea>
    </chartFormat>
    <chartFormat chart="4" format="19" series="1">
      <pivotArea type="data" outline="0" fieldPosition="0">
        <references count="2">
          <reference field="4294967294" count="1" selected="0">
            <x v="0"/>
          </reference>
          <reference field="1" count="1" selected="0">
            <x v="2"/>
          </reference>
        </references>
      </pivotArea>
    </chartFormat>
    <chartFormat chart="4" format="20" series="1">
      <pivotArea type="data" outline="0" fieldPosition="0">
        <references count="2">
          <reference field="4294967294" count="1" selected="0">
            <x v="0"/>
          </reference>
          <reference field="1" count="1" selected="0">
            <x v="0"/>
          </reference>
        </references>
      </pivotArea>
    </chartFormat>
    <chartFormat chart="6" format="22" series="1">
      <pivotArea type="data" outline="0" fieldPosition="0">
        <references count="2">
          <reference field="4294967294" count="1" selected="0">
            <x v="0"/>
          </reference>
          <reference field="1" count="1" selected="0">
            <x v="1"/>
          </reference>
        </references>
      </pivotArea>
    </chartFormat>
    <chartFormat chart="6" format="23" series="1">
      <pivotArea type="data" outline="0" fieldPosition="0">
        <references count="2">
          <reference field="4294967294" count="1" selected="0">
            <x v="0"/>
          </reference>
          <reference field="1" count="1" selected="0">
            <x v="2"/>
          </reference>
        </references>
      </pivotArea>
    </chartFormat>
    <chartFormat chart="6" format="24" series="1">
      <pivotArea type="data" outline="0" fieldPosition="0">
        <references count="2">
          <reference field="4294967294" count="1" selected="0">
            <x v="0"/>
          </reference>
          <reference field="1" count="1" selected="0">
            <x v="3"/>
          </reference>
        </references>
      </pivotArea>
    </chartFormat>
    <chartFormat chart="6" format="25" series="1">
      <pivotArea type="data" outline="0" fieldPosition="0">
        <references count="2">
          <reference field="4294967294" count="1" selected="0">
            <x v="0"/>
          </reference>
          <reference field="1" count="1" selected="0">
            <x v="4"/>
          </reference>
        </references>
      </pivotArea>
    </chartFormat>
    <chartFormat chart="6" format="26" series="1">
      <pivotArea type="data" outline="0" fieldPosition="0">
        <references count="2">
          <reference field="4294967294" count="1" selected="0">
            <x v="0"/>
          </reference>
          <reference field="1" count="1" selected="0">
            <x v="5"/>
          </reference>
        </references>
      </pivotArea>
    </chartFormat>
    <chartFormat chart="6" format="27" series="1">
      <pivotArea type="data" outline="0" fieldPosition="0">
        <references count="2">
          <reference field="4294967294" count="1" selected="0">
            <x v="0"/>
          </reference>
          <reference field="1" count="1" selected="0">
            <x v="6"/>
          </reference>
        </references>
      </pivotArea>
    </chartFormat>
    <chartFormat chart="6" format="28" series="1">
      <pivotArea type="data" outline="0" fieldPosition="0">
        <references count="2">
          <reference field="4294967294" count="1" selected="0">
            <x v="0"/>
          </reference>
          <reference field="1" count="1" selected="0">
            <x v="7"/>
          </reference>
        </references>
      </pivotArea>
    </chartFormat>
    <chartFormat chart="6" format="29" series="1">
      <pivotArea type="data" outline="0" fieldPosition="0">
        <references count="2">
          <reference field="4294967294" count="1" selected="0">
            <x v="0"/>
          </reference>
          <reference field="1" count="1" selected="0">
            <x v="8"/>
          </reference>
        </references>
      </pivotArea>
    </chartFormat>
    <chartFormat chart="6" format="30" series="1">
      <pivotArea type="data" outline="0" fieldPosition="0">
        <references count="2">
          <reference field="4294967294" count="1" selected="0">
            <x v="0"/>
          </reference>
          <reference field="1" count="1" selected="0">
            <x v="9"/>
          </reference>
        </references>
      </pivotArea>
    </chartFormat>
    <chartFormat chart="6" format="31" series="1">
      <pivotArea type="data" outline="0" fieldPosition="0">
        <references count="2">
          <reference field="4294967294" count="1" selected="0">
            <x v="0"/>
          </reference>
          <reference field="1" count="1" selected="0">
            <x v="10"/>
          </reference>
        </references>
      </pivotArea>
    </chartFormat>
    <chartFormat chart="6" format="32" series="1">
      <pivotArea type="data" outline="0" fieldPosition="0">
        <references count="2">
          <reference field="4294967294" count="1" selected="0">
            <x v="0"/>
          </reference>
          <reference field="1" count="1" selected="0">
            <x v="11"/>
          </reference>
        </references>
      </pivotArea>
    </chartFormat>
    <chartFormat chart="6" format="33" series="1">
      <pivotArea type="data" outline="0" fieldPosition="0">
        <references count="2">
          <reference field="4294967294" count="1" selected="0">
            <x v="0"/>
          </reference>
          <reference field="1" count="1" selected="0">
            <x v="12"/>
          </reference>
        </references>
      </pivotArea>
    </chartFormat>
    <chartFormat chart="6" format="34" series="1">
      <pivotArea type="data" outline="0" fieldPosition="0">
        <references count="2">
          <reference field="4294967294" count="1" selected="0">
            <x v="0"/>
          </reference>
          <reference field="1" count="1" selected="0">
            <x v="13"/>
          </reference>
        </references>
      </pivotArea>
    </chartFormat>
    <chartFormat chart="6" format="35" series="1">
      <pivotArea type="data" outline="0" fieldPosition="0">
        <references count="2">
          <reference field="4294967294" count="1" selected="0">
            <x v="0"/>
          </reference>
          <reference field="1" count="1" selected="0">
            <x v="15"/>
          </reference>
        </references>
      </pivotArea>
    </chartFormat>
    <chartFormat chart="6" format="36" series="1">
      <pivotArea type="data" outline="0" fieldPosition="0">
        <references count="2">
          <reference field="4294967294" count="1" selected="0">
            <x v="0"/>
          </reference>
          <reference field="1" count="1" selected="0">
            <x v="16"/>
          </reference>
        </references>
      </pivotArea>
    </chartFormat>
    <chartFormat chart="6" format="37" series="1">
      <pivotArea type="data" outline="0" fieldPosition="0">
        <references count="2">
          <reference field="4294967294" count="1" selected="0">
            <x v="0"/>
          </reference>
          <reference field="1" count="1" selected="0">
            <x v="17"/>
          </reference>
        </references>
      </pivotArea>
    </chartFormat>
    <chartFormat chart="6" format="38" series="1">
      <pivotArea type="data" outline="0" fieldPosition="0">
        <references count="2">
          <reference field="4294967294" count="1" selected="0">
            <x v="0"/>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nager" xr10:uid="{00000000-0013-0000-FFFF-FFFF01000000}" sourceName="Manager">
  <pivotTables>
    <pivotTable tabId="9" name="PivotTable1"/>
    <pivotTable tabId="7" name="PivotTable5"/>
    <pivotTable tabId="7" name="PivotTable7"/>
  </pivotTables>
  <data>
    <tabular pivotCacheId="3" showMissing="0">
      <items count="98">
        <i x="38" s="1"/>
        <i x="39" s="1"/>
        <i x="40" s="1"/>
        <i x="41" s="1"/>
        <i x="42" s="1"/>
        <i x="43" s="1"/>
        <i x="44" s="1"/>
        <i x="45" s="1"/>
        <i x="46" s="1"/>
        <i x="0" s="1" nd="1"/>
        <i x="47" s="1" nd="1"/>
        <i x="4" s="1" nd="1"/>
        <i x="5" s="1" nd="1"/>
        <i x="6" s="1" nd="1"/>
        <i x="7" s="1" nd="1"/>
        <i x="8" s="1" nd="1"/>
        <i x="9" s="1" nd="1"/>
        <i x="10" s="1" nd="1"/>
        <i x="11" s="1" nd="1"/>
        <i x="12" s="1" nd="1"/>
        <i x="13" s="1" nd="1"/>
        <i x="14" s="1" nd="1"/>
        <i x="16" s="1" nd="1"/>
        <i x="17" s="1" nd="1"/>
        <i x="18" s="1" nd="1"/>
        <i x="19" s="1" nd="1"/>
        <i x="20" s="1" nd="1"/>
        <i x="21" s="1" nd="1"/>
        <i x="22" s="1" nd="1"/>
        <i x="23" s="1" nd="1"/>
        <i x="24" s="1" nd="1"/>
        <i x="25" s="1" nd="1"/>
        <i x="26" s="1" nd="1"/>
        <i x="27" s="1" nd="1"/>
        <i x="28" s="1" nd="1"/>
        <i x="29" s="1" nd="1"/>
        <i x="30" s="1" nd="1"/>
        <i x="15" s="1" nd="1"/>
        <i x="31" s="1" nd="1"/>
        <i x="32" s="1" nd="1"/>
        <i x="33" s="1" nd="1"/>
        <i x="34" s="1" nd="1"/>
        <i x="35" s="1" nd="1"/>
        <i x="36" s="1" nd="1"/>
        <i x="37" s="1" nd="1"/>
        <i x="48" s="1" nd="1"/>
        <i x="1" s="1" nd="1"/>
        <i x="2" s="1" nd="1"/>
        <i x="3" s="1" nd="1"/>
        <i x="49" s="1" nd="1"/>
        <i x="50" s="1" nd="1"/>
        <i x="51" s="1" nd="1"/>
        <i x="52" s="1" nd="1"/>
        <i x="53" s="1" nd="1"/>
        <i x="54" s="1" nd="1"/>
        <i x="56" s="1" nd="1"/>
        <i x="57" s="1" nd="1"/>
        <i x="58" s="1" nd="1"/>
        <i x="55" s="1" nd="1"/>
        <i x="59" s="1" nd="1"/>
        <i x="60" s="1" nd="1"/>
        <i x="61" s="1" nd="1"/>
        <i x="62" s="1" nd="1"/>
        <i x="63" s="1" nd="1"/>
        <i x="64" s="1" nd="1"/>
        <i x="65" s="1" nd="1"/>
        <i x="66" s="1" nd="1"/>
        <i x="67" s="1" nd="1"/>
        <i x="68" s="1" nd="1"/>
        <i x="69" s="1" nd="1"/>
        <i x="70" s="1" nd="1"/>
        <i x="71" s="1" nd="1"/>
        <i x="72" s="1" nd="1"/>
        <i x="73" s="1" nd="1"/>
        <i x="74" s="1" nd="1"/>
        <i x="75" s="1" nd="1"/>
        <i x="76" s="1" nd="1"/>
        <i x="77" s="1" nd="1"/>
        <i x="78" s="1" nd="1"/>
        <i x="79" s="1" nd="1"/>
        <i x="80" s="1" nd="1"/>
        <i x="81" s="1" nd="1"/>
        <i x="82" s="1" nd="1"/>
        <i x="97" s="1" nd="1"/>
        <i x="90" s="1" nd="1"/>
        <i x="91" s="1" nd="1"/>
        <i x="92" s="1" nd="1"/>
        <i x="93" s="1" nd="1"/>
        <i x="94" s="1" nd="1"/>
        <i x="95" s="1" nd="1"/>
        <i x="96" s="1" nd="1"/>
        <i x="83" s="1" nd="1"/>
        <i x="84" s="1" nd="1"/>
        <i x="85" s="1" nd="1"/>
        <i x="86" s="1" nd="1"/>
        <i x="87" s="1" nd="1"/>
        <i x="88" s="1" nd="1"/>
        <i x="89"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vision" xr10:uid="{00000000-0013-0000-FFFF-FFFF02000000}" sourceName="Division">
  <pivotTables>
    <pivotTable tabId="9" name="PivotTable1"/>
    <pivotTable tabId="7" name="PivotTable1"/>
    <pivotTable tabId="7" name="PivotTable2"/>
    <pivotTable tabId="7" name="PivotTable3"/>
    <pivotTable tabId="7" name="PivotTable4"/>
    <pivotTable tabId="7" name="PivotTable5"/>
    <pivotTable tabId="6" name="PivotTable1"/>
    <pivotTable tabId="6" name="PivotTable2"/>
    <pivotTable tabId="6" name="PivotTable4"/>
    <pivotTable tabId="6" name="PivotTable6"/>
    <pivotTable tabId="7" name="PivotTable7"/>
  </pivotTables>
  <data>
    <tabular pivotCacheId="3" showMissing="0">
      <items count="17">
        <i x="0"/>
        <i x="1"/>
        <i x="2"/>
        <i x="3"/>
        <i x="4"/>
        <i x="6"/>
        <i x="5"/>
        <i x="7" s="1"/>
        <i x="8"/>
        <i x="9"/>
        <i x="10"/>
        <i x="11"/>
        <i x="12"/>
        <i x="13"/>
        <i x="14"/>
        <i x="15"/>
        <i x="16"/>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vision1" xr10:uid="{B307C047-D056-432D-9872-F8076C9E2980}" sourceName="Division">
  <pivotTables>
    <pivotTable tabId="12" name="PivotTable1"/>
  </pivotTables>
  <data>
    <tabular pivotCacheId="1492427198">
      <items count="18">
        <i x="0" s="1"/>
        <i x="1" s="1"/>
        <i x="2" s="1"/>
        <i x="3" s="1"/>
        <i x="4" s="1"/>
        <i x="6" s="1"/>
        <i x="5" s="1"/>
        <i x="7" s="1"/>
        <i x="8" s="1"/>
        <i x="9" s="1"/>
        <i x="10" s="1"/>
        <i x="11" s="1"/>
        <i x="12" s="1"/>
        <i x="13" s="1"/>
        <i x="14" s="1"/>
        <i x="15" s="1"/>
        <i x="16" s="1"/>
        <i x="17"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eam Lead" xr10:uid="{00000000-0014-0000-FFFF-FFFF01000000}" cache="Slicer_Manager" caption="Team Lead" style="Slicer Style 1" lockedPosition="1" rowHeight="241300"/>
  <slicer name="Division" xr10:uid="{00000000-0014-0000-FFFF-FFFF02000000}" cache="Slicer_Division" caption="Division" style="Slicer Style 1" lockedPosition="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ivision 1" xr10:uid="{A7A94696-8206-4B64-A25C-1F534BAB354E}" cache="Slicer_Division" caption="Division" style="Slicer Style 1" lockedPosition="1"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ivision 2" xr10:uid="{A10BC25F-1A3F-45D1-9E51-AD4C193E754F}" cache="Slicer_Division1" caption="Division"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rinterSettings" Target="../printerSettings/printerSettings1.bin"/><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7.xml"/><Relationship Id="rId7" Type="http://schemas.openxmlformats.org/officeDocument/2006/relationships/printerSettings" Target="../printerSettings/printerSettings2.bin"/><Relationship Id="rId2" Type="http://schemas.openxmlformats.org/officeDocument/2006/relationships/pivotTable" Target="../pivotTables/pivotTable6.xml"/><Relationship Id="rId1" Type="http://schemas.openxmlformats.org/officeDocument/2006/relationships/pivotTable" Target="../pivotTables/pivotTable5.xml"/><Relationship Id="rId6" Type="http://schemas.openxmlformats.org/officeDocument/2006/relationships/pivotTable" Target="../pivotTables/pivotTable10.xml"/><Relationship Id="rId5" Type="http://schemas.openxmlformats.org/officeDocument/2006/relationships/pivotTable" Target="../pivotTables/pivotTable9.xml"/><Relationship Id="rId4" Type="http://schemas.openxmlformats.org/officeDocument/2006/relationships/pivotTable" Target="../pivotTables/pivotTable8.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pivotTable" Target="../pivotTables/pivotTable11.xml"/><Relationship Id="rId4" Type="http://schemas.microsoft.com/office/2007/relationships/slicer" Target="../slicers/slicer1.xml"/></Relationships>
</file>

<file path=xl/worksheets/_rels/sheet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3.xml"/><Relationship Id="rId1" Type="http://schemas.openxmlformats.org/officeDocument/2006/relationships/pivotTable" Target="../pivotTables/pivotTable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P599"/>
  <sheetViews>
    <sheetView topLeftCell="I1" workbookViewId="0">
      <selection activeCell="L4" sqref="L4"/>
    </sheetView>
  </sheetViews>
  <sheetFormatPr defaultRowHeight="14.5" x14ac:dyDescent="0.35"/>
  <cols>
    <col min="1" max="1" width="17.26953125" customWidth="1"/>
    <col min="2" max="2" width="21.54296875" customWidth="1"/>
    <col min="3" max="3" width="12.453125" customWidth="1"/>
    <col min="4" max="4" width="15.81640625" customWidth="1"/>
    <col min="5" max="5" width="10.54296875" customWidth="1"/>
    <col min="6" max="6" width="22.1796875" customWidth="1"/>
    <col min="7" max="7" width="14.453125" customWidth="1"/>
    <col min="8" max="8" width="17" style="8" customWidth="1"/>
    <col min="9" max="9" width="17" customWidth="1"/>
    <col min="10" max="10" width="25.26953125" customWidth="1"/>
    <col min="11" max="11" width="20.54296875" customWidth="1"/>
    <col min="12" max="12" width="13.7265625" customWidth="1"/>
    <col min="13" max="13" width="10.1796875" customWidth="1"/>
    <col min="14" max="14" width="21" bestFit="1" customWidth="1"/>
    <col min="15" max="15" width="17.1796875" customWidth="1"/>
    <col min="16" max="16" width="12" bestFit="1" customWidth="1"/>
  </cols>
  <sheetData>
    <row r="2" spans="1:16" ht="15" thickBot="1" x14ac:dyDescent="0.4"/>
    <row r="3" spans="1:16" ht="16.5" thickTop="1" thickBot="1" x14ac:dyDescent="0.4">
      <c r="A3" t="s">
        <v>13</v>
      </c>
      <c r="B3" t="s">
        <v>23</v>
      </c>
      <c r="C3" t="s">
        <v>22</v>
      </c>
      <c r="D3" t="s">
        <v>21</v>
      </c>
      <c r="E3" t="s">
        <v>24</v>
      </c>
      <c r="F3" t="s">
        <v>17</v>
      </c>
      <c r="G3" t="s">
        <v>18</v>
      </c>
      <c r="H3" t="s">
        <v>29</v>
      </c>
      <c r="J3" s="13" t="s">
        <v>23</v>
      </c>
      <c r="K3" s="13" t="s">
        <v>22</v>
      </c>
      <c r="L3" s="13" t="s">
        <v>21</v>
      </c>
      <c r="M3" s="13" t="s">
        <v>24</v>
      </c>
      <c r="N3" s="13" t="s">
        <v>26</v>
      </c>
      <c r="O3" s="13" t="s">
        <v>25</v>
      </c>
      <c r="P3" s="13" t="s">
        <v>19</v>
      </c>
    </row>
    <row r="4" spans="1:16" ht="16.5" thickTop="1" thickBot="1" x14ac:dyDescent="0.4">
      <c r="A4" s="6">
        <v>23</v>
      </c>
      <c r="B4" s="6">
        <v>125</v>
      </c>
      <c r="C4" s="6">
        <v>71</v>
      </c>
      <c r="D4" s="6">
        <v>18</v>
      </c>
      <c r="E4" s="6">
        <v>4</v>
      </c>
      <c r="F4" s="7">
        <v>0.15434782608695652</v>
      </c>
      <c r="G4" s="7">
        <v>0.17391304347826086</v>
      </c>
      <c r="H4" s="8">
        <v>17.75</v>
      </c>
      <c r="J4" s="13">
        <f>B4</f>
        <v>125</v>
      </c>
      <c r="K4" s="13">
        <f t="shared" ref="K4:P4" si="0">C4</f>
        <v>71</v>
      </c>
      <c r="L4" s="13">
        <f t="shared" si="0"/>
        <v>18</v>
      </c>
      <c r="M4" s="13">
        <f t="shared" si="0"/>
        <v>4</v>
      </c>
      <c r="N4" s="14">
        <f t="shared" si="0"/>
        <v>0.15434782608695652</v>
      </c>
      <c r="O4" s="14">
        <f t="shared" si="0"/>
        <v>0.17391304347826086</v>
      </c>
      <c r="P4" s="15">
        <f t="shared" si="0"/>
        <v>17.75</v>
      </c>
    </row>
    <row r="5" spans="1:16" ht="15" thickTop="1" x14ac:dyDescent="0.35">
      <c r="F5" s="7"/>
      <c r="G5" s="7"/>
    </row>
    <row r="7" spans="1:16" x14ac:dyDescent="0.35">
      <c r="H7"/>
    </row>
    <row r="8" spans="1:16" x14ac:dyDescent="0.35">
      <c r="H8"/>
    </row>
    <row r="9" spans="1:16" ht="15" thickBot="1" x14ac:dyDescent="0.4"/>
    <row r="10" spans="1:16" ht="15.5" thickTop="1" thickBot="1" x14ac:dyDescent="0.4">
      <c r="A10" s="9" t="s">
        <v>20</v>
      </c>
      <c r="B10" t="s">
        <v>39</v>
      </c>
      <c r="D10" s="9" t="s">
        <v>20</v>
      </c>
      <c r="E10" t="s">
        <v>40</v>
      </c>
      <c r="G10" s="9" t="s">
        <v>20</v>
      </c>
      <c r="H10" s="8" t="s">
        <v>29</v>
      </c>
      <c r="J10" s="11" t="s">
        <v>27</v>
      </c>
      <c r="K10" s="11" t="s">
        <v>14</v>
      </c>
      <c r="L10" s="11" t="s">
        <v>3</v>
      </c>
      <c r="M10" s="11" t="s">
        <v>15</v>
      </c>
      <c r="N10" s="11" t="s">
        <v>3</v>
      </c>
      <c r="O10" s="11" t="s">
        <v>16</v>
      </c>
    </row>
    <row r="11" spans="1:16" ht="15.5" thickTop="1" thickBot="1" x14ac:dyDescent="0.4">
      <c r="A11" s="10" t="s">
        <v>204</v>
      </c>
      <c r="B11" s="7">
        <v>0.45</v>
      </c>
      <c r="C11" s="7"/>
      <c r="D11" s="10" t="s">
        <v>203</v>
      </c>
      <c r="E11" s="7">
        <v>2</v>
      </c>
      <c r="G11" s="10" t="s">
        <v>203</v>
      </c>
      <c r="H11" s="8">
        <v>2</v>
      </c>
      <c r="J11" s="11" t="str">
        <f>A11</f>
        <v>Vishwas Batra</v>
      </c>
      <c r="K11" s="16">
        <f>B11</f>
        <v>0.45</v>
      </c>
      <c r="L11" s="11" t="str">
        <f>D11</f>
        <v>Alka Dagar</v>
      </c>
      <c r="M11" s="16">
        <f>E11</f>
        <v>2</v>
      </c>
      <c r="N11" s="11" t="str">
        <f>G11</f>
        <v>Alka Dagar</v>
      </c>
      <c r="O11" s="18">
        <f>H11</f>
        <v>2</v>
      </c>
    </row>
    <row r="12" spans="1:16" ht="15.5" thickTop="1" thickBot="1" x14ac:dyDescent="0.4">
      <c r="A12" s="10" t="s">
        <v>205</v>
      </c>
      <c r="B12" s="7">
        <v>0.4</v>
      </c>
      <c r="C12" s="7"/>
      <c r="D12" s="10" t="s">
        <v>206</v>
      </c>
      <c r="E12" s="7">
        <v>1</v>
      </c>
      <c r="G12" s="10" t="s">
        <v>207</v>
      </c>
      <c r="H12" s="8">
        <v>3</v>
      </c>
      <c r="J12" s="11" t="str">
        <f t="shared" ref="J12:J15" si="1">A12</f>
        <v>Omesha Johari</v>
      </c>
      <c r="K12" s="16">
        <f t="shared" ref="K12:K15" si="2">B12</f>
        <v>0.4</v>
      </c>
      <c r="L12" s="11" t="str">
        <f t="shared" ref="L12:L15" si="3">D12</f>
        <v>Imran Ali</v>
      </c>
      <c r="M12" s="16">
        <f t="shared" ref="M12:M15" si="4">E12</f>
        <v>1</v>
      </c>
      <c r="N12" s="11" t="str">
        <f t="shared" ref="N12:N15" si="5">G12</f>
        <v>Rajeev Kumar2</v>
      </c>
      <c r="O12" s="18">
        <f t="shared" ref="O12:O15" si="6">H12</f>
        <v>3</v>
      </c>
    </row>
    <row r="13" spans="1:16" ht="15.5" thickTop="1" thickBot="1" x14ac:dyDescent="0.4">
      <c r="A13" s="10" t="s">
        <v>206</v>
      </c>
      <c r="B13" s="7">
        <v>0.35</v>
      </c>
      <c r="C13" s="7"/>
      <c r="D13" s="10" t="s">
        <v>207</v>
      </c>
      <c r="E13" s="7">
        <v>1</v>
      </c>
      <c r="G13" s="10" t="s">
        <v>206</v>
      </c>
      <c r="H13" s="8">
        <v>7</v>
      </c>
      <c r="J13" s="11" t="str">
        <f t="shared" si="1"/>
        <v>Imran Ali</v>
      </c>
      <c r="K13" s="16">
        <f t="shared" si="2"/>
        <v>0.35</v>
      </c>
      <c r="L13" s="11" t="str">
        <f t="shared" si="3"/>
        <v>Rajeev Kumar2</v>
      </c>
      <c r="M13" s="16">
        <f t="shared" si="4"/>
        <v>1</v>
      </c>
      <c r="N13" s="11" t="str">
        <f t="shared" si="5"/>
        <v>Imran Ali</v>
      </c>
      <c r="O13" s="18">
        <f t="shared" si="6"/>
        <v>7</v>
      </c>
    </row>
    <row r="14" spans="1:16" ht="15.5" thickTop="1" thickBot="1" x14ac:dyDescent="0.4">
      <c r="A14" s="10" t="s">
        <v>187</v>
      </c>
      <c r="B14" s="7">
        <v>0.35</v>
      </c>
      <c r="C14" s="7"/>
      <c r="D14" s="10" t="s">
        <v>205</v>
      </c>
      <c r="E14" s="7">
        <v>0</v>
      </c>
      <c r="H14"/>
      <c r="J14" s="11" t="str">
        <f t="shared" si="1"/>
        <v>Amit Dua</v>
      </c>
      <c r="K14" s="16">
        <f t="shared" si="2"/>
        <v>0.35</v>
      </c>
      <c r="L14" s="11" t="str">
        <f t="shared" si="3"/>
        <v>Omesha Johari</v>
      </c>
      <c r="M14" s="16">
        <f t="shared" si="4"/>
        <v>0</v>
      </c>
      <c r="N14" s="11">
        <f t="shared" si="5"/>
        <v>0</v>
      </c>
      <c r="O14" s="18">
        <f t="shared" si="6"/>
        <v>0</v>
      </c>
    </row>
    <row r="15" spans="1:16" ht="15.5" thickTop="1" thickBot="1" x14ac:dyDescent="0.4">
      <c r="A15" s="10" t="s">
        <v>188</v>
      </c>
      <c r="B15" s="7">
        <v>0.25</v>
      </c>
      <c r="C15" s="7"/>
      <c r="D15" s="10" t="s">
        <v>201</v>
      </c>
      <c r="E15" s="7">
        <v>0</v>
      </c>
      <c r="H15"/>
      <c r="J15" s="11" t="str">
        <f t="shared" si="1"/>
        <v>Bhawana Suyal</v>
      </c>
      <c r="K15" s="16">
        <f t="shared" si="2"/>
        <v>0.25</v>
      </c>
      <c r="L15" s="11" t="str">
        <f t="shared" si="3"/>
        <v>Manoj Chauhan</v>
      </c>
      <c r="M15" s="16">
        <f t="shared" si="4"/>
        <v>0</v>
      </c>
      <c r="N15" s="11">
        <f t="shared" si="5"/>
        <v>0</v>
      </c>
      <c r="O15" s="18">
        <f t="shared" si="6"/>
        <v>0</v>
      </c>
    </row>
    <row r="16" spans="1:16" ht="15.5" thickTop="1" thickBot="1" x14ac:dyDescent="0.4">
      <c r="A16" s="10" t="s">
        <v>191</v>
      </c>
      <c r="B16" s="7">
        <v>0.25</v>
      </c>
      <c r="D16" s="10" t="s">
        <v>199</v>
      </c>
      <c r="E16" s="7">
        <v>0</v>
      </c>
      <c r="H16"/>
      <c r="I16" s="6"/>
      <c r="J16" s="11"/>
      <c r="K16" s="11"/>
      <c r="L16" s="11"/>
      <c r="M16" s="11"/>
      <c r="N16" s="11"/>
      <c r="O16" s="18"/>
    </row>
    <row r="17" spans="4:8" ht="15" thickTop="1" x14ac:dyDescent="0.35">
      <c r="D17" s="10" t="s">
        <v>191</v>
      </c>
      <c r="E17" s="7">
        <v>0</v>
      </c>
      <c r="H17"/>
    </row>
    <row r="18" spans="4:8" x14ac:dyDescent="0.35">
      <c r="D18" s="10" t="s">
        <v>189</v>
      </c>
      <c r="E18" s="7">
        <v>0</v>
      </c>
      <c r="H18"/>
    </row>
    <row r="19" spans="4:8" x14ac:dyDescent="0.35">
      <c r="D19" s="10" t="s">
        <v>192</v>
      </c>
      <c r="E19" s="7">
        <v>0</v>
      </c>
      <c r="H19"/>
    </row>
    <row r="20" spans="4:8" x14ac:dyDescent="0.35">
      <c r="D20" s="10" t="s">
        <v>187</v>
      </c>
      <c r="E20" s="7">
        <v>0</v>
      </c>
      <c r="H20"/>
    </row>
    <row r="21" spans="4:8" x14ac:dyDescent="0.35">
      <c r="D21" s="10" t="s">
        <v>193</v>
      </c>
      <c r="E21" s="7">
        <v>0</v>
      </c>
      <c r="H21"/>
    </row>
    <row r="22" spans="4:8" x14ac:dyDescent="0.35">
      <c r="D22" s="10" t="s">
        <v>200</v>
      </c>
      <c r="E22" s="7">
        <v>0</v>
      </c>
      <c r="H22"/>
    </row>
    <row r="23" spans="4:8" x14ac:dyDescent="0.35">
      <c r="D23" s="10" t="s">
        <v>194</v>
      </c>
      <c r="E23" s="7">
        <v>0</v>
      </c>
      <c r="H23"/>
    </row>
    <row r="24" spans="4:8" x14ac:dyDescent="0.35">
      <c r="D24" s="10" t="s">
        <v>202</v>
      </c>
      <c r="E24" s="7">
        <v>0</v>
      </c>
      <c r="H24"/>
    </row>
    <row r="25" spans="4:8" hidden="1" x14ac:dyDescent="0.35">
      <c r="D25" s="10" t="s">
        <v>195</v>
      </c>
      <c r="E25" s="7">
        <v>0</v>
      </c>
      <c r="H25"/>
    </row>
    <row r="26" spans="4:8" hidden="1" x14ac:dyDescent="0.35">
      <c r="D26" s="10" t="s">
        <v>204</v>
      </c>
      <c r="E26" s="7">
        <v>0</v>
      </c>
      <c r="H26"/>
    </row>
    <row r="27" spans="4:8" hidden="1" x14ac:dyDescent="0.35">
      <c r="D27" s="10" t="s">
        <v>188</v>
      </c>
      <c r="E27" s="7">
        <v>0</v>
      </c>
      <c r="H27"/>
    </row>
    <row r="28" spans="4:8" hidden="1" x14ac:dyDescent="0.35">
      <c r="D28" s="10" t="s">
        <v>190</v>
      </c>
      <c r="E28" s="7">
        <v>0</v>
      </c>
      <c r="H28"/>
    </row>
    <row r="29" spans="4:8" hidden="1" x14ac:dyDescent="0.35">
      <c r="D29" s="10" t="s">
        <v>208</v>
      </c>
      <c r="E29" s="7">
        <v>0</v>
      </c>
      <c r="H29"/>
    </row>
    <row r="30" spans="4:8" hidden="1" x14ac:dyDescent="0.35">
      <c r="D30" s="10" t="s">
        <v>196</v>
      </c>
      <c r="E30" s="7">
        <v>0</v>
      </c>
      <c r="H30"/>
    </row>
    <row r="31" spans="4:8" hidden="1" x14ac:dyDescent="0.35">
      <c r="D31" s="10" t="s">
        <v>209</v>
      </c>
      <c r="E31" s="7">
        <v>0</v>
      </c>
      <c r="H31"/>
    </row>
    <row r="32" spans="4:8" hidden="1" x14ac:dyDescent="0.35">
      <c r="D32" s="10" t="s">
        <v>197</v>
      </c>
      <c r="E32" s="7">
        <v>0</v>
      </c>
      <c r="H32"/>
    </row>
    <row r="33" spans="4:8" hidden="1" x14ac:dyDescent="0.35">
      <c r="D33" s="10" t="s">
        <v>198</v>
      </c>
      <c r="E33" s="7">
        <v>0</v>
      </c>
      <c r="H33"/>
    </row>
    <row r="34" spans="4:8" hidden="1" x14ac:dyDescent="0.35">
      <c r="H34"/>
    </row>
    <row r="35" spans="4:8" hidden="1" x14ac:dyDescent="0.35">
      <c r="H35"/>
    </row>
    <row r="36" spans="4:8" hidden="1" x14ac:dyDescent="0.35">
      <c r="H36"/>
    </row>
    <row r="37" spans="4:8" hidden="1" x14ac:dyDescent="0.35">
      <c r="H37"/>
    </row>
    <row r="38" spans="4:8" hidden="1" x14ac:dyDescent="0.35">
      <c r="H38"/>
    </row>
    <row r="39" spans="4:8" hidden="1" x14ac:dyDescent="0.35">
      <c r="H39"/>
    </row>
    <row r="40" spans="4:8" hidden="1" x14ac:dyDescent="0.35">
      <c r="H40"/>
    </row>
    <row r="41" spans="4:8" hidden="1" x14ac:dyDescent="0.35">
      <c r="H41"/>
    </row>
    <row r="42" spans="4:8" hidden="1" x14ac:dyDescent="0.35">
      <c r="H42"/>
    </row>
    <row r="43" spans="4:8" hidden="1" x14ac:dyDescent="0.35">
      <c r="H43"/>
    </row>
    <row r="44" spans="4:8" hidden="1" x14ac:dyDescent="0.35">
      <c r="H44"/>
    </row>
    <row r="45" spans="4:8" hidden="1" x14ac:dyDescent="0.35">
      <c r="H45"/>
    </row>
    <row r="46" spans="4:8" hidden="1" x14ac:dyDescent="0.35">
      <c r="H46"/>
    </row>
    <row r="47" spans="4:8" hidden="1" x14ac:dyDescent="0.35">
      <c r="H47"/>
    </row>
    <row r="48" spans="4:8" hidden="1" x14ac:dyDescent="0.35">
      <c r="H48"/>
    </row>
    <row r="49" spans="8:8" hidden="1" x14ac:dyDescent="0.35">
      <c r="H49"/>
    </row>
    <row r="50" spans="8:8" hidden="1" x14ac:dyDescent="0.35">
      <c r="H50"/>
    </row>
    <row r="51" spans="8:8" hidden="1" x14ac:dyDescent="0.35">
      <c r="H51"/>
    </row>
    <row r="52" spans="8:8" hidden="1" x14ac:dyDescent="0.35">
      <c r="H52"/>
    </row>
    <row r="53" spans="8:8" hidden="1" x14ac:dyDescent="0.35">
      <c r="H53"/>
    </row>
    <row r="54" spans="8:8" hidden="1" x14ac:dyDescent="0.35">
      <c r="H54"/>
    </row>
    <row r="55" spans="8:8" hidden="1" x14ac:dyDescent="0.35">
      <c r="H55"/>
    </row>
    <row r="56" spans="8:8" hidden="1" x14ac:dyDescent="0.35">
      <c r="H56"/>
    </row>
    <row r="57" spans="8:8" hidden="1" x14ac:dyDescent="0.35">
      <c r="H57"/>
    </row>
    <row r="58" spans="8:8" hidden="1" x14ac:dyDescent="0.35">
      <c r="H58"/>
    </row>
    <row r="59" spans="8:8" hidden="1" x14ac:dyDescent="0.35">
      <c r="H59"/>
    </row>
    <row r="60" spans="8:8" hidden="1" x14ac:dyDescent="0.35">
      <c r="H60"/>
    </row>
    <row r="61" spans="8:8" hidden="1" x14ac:dyDescent="0.35">
      <c r="H61"/>
    </row>
    <row r="62" spans="8:8" hidden="1" x14ac:dyDescent="0.35">
      <c r="H62"/>
    </row>
    <row r="63" spans="8:8" hidden="1" x14ac:dyDescent="0.35">
      <c r="H63"/>
    </row>
    <row r="64" spans="8:8" hidden="1" x14ac:dyDescent="0.35">
      <c r="H64"/>
    </row>
    <row r="65" spans="8:8" hidden="1" x14ac:dyDescent="0.35">
      <c r="H65"/>
    </row>
    <row r="66" spans="8:8" hidden="1" x14ac:dyDescent="0.35">
      <c r="H66"/>
    </row>
    <row r="67" spans="8:8" hidden="1" x14ac:dyDescent="0.35">
      <c r="H67"/>
    </row>
    <row r="68" spans="8:8" hidden="1" x14ac:dyDescent="0.35">
      <c r="H68"/>
    </row>
    <row r="69" spans="8:8" hidden="1" x14ac:dyDescent="0.35">
      <c r="H69"/>
    </row>
    <row r="70" spans="8:8" hidden="1" x14ac:dyDescent="0.35">
      <c r="H70"/>
    </row>
    <row r="71" spans="8:8" hidden="1" x14ac:dyDescent="0.35">
      <c r="H71"/>
    </row>
    <row r="72" spans="8:8" hidden="1" x14ac:dyDescent="0.35">
      <c r="H72"/>
    </row>
    <row r="73" spans="8:8" hidden="1" x14ac:dyDescent="0.35">
      <c r="H73"/>
    </row>
    <row r="74" spans="8:8" hidden="1" x14ac:dyDescent="0.35">
      <c r="H74"/>
    </row>
    <row r="75" spans="8:8" hidden="1" x14ac:dyDescent="0.35">
      <c r="H75"/>
    </row>
    <row r="76" spans="8:8" hidden="1" x14ac:dyDescent="0.35">
      <c r="H76"/>
    </row>
    <row r="77" spans="8:8" hidden="1" x14ac:dyDescent="0.35">
      <c r="H77"/>
    </row>
    <row r="78" spans="8:8" hidden="1" x14ac:dyDescent="0.35">
      <c r="H78"/>
    </row>
    <row r="79" spans="8:8" hidden="1" x14ac:dyDescent="0.35">
      <c r="H79"/>
    </row>
    <row r="80" spans="8:8" hidden="1" x14ac:dyDescent="0.35">
      <c r="H80"/>
    </row>
    <row r="81" spans="8:8" hidden="1" x14ac:dyDescent="0.35">
      <c r="H81"/>
    </row>
    <row r="82" spans="8:8" hidden="1" x14ac:dyDescent="0.35">
      <c r="H82"/>
    </row>
    <row r="83" spans="8:8" hidden="1" x14ac:dyDescent="0.35">
      <c r="H83"/>
    </row>
    <row r="84" spans="8:8" hidden="1" x14ac:dyDescent="0.35">
      <c r="H84"/>
    </row>
    <row r="85" spans="8:8" hidden="1" x14ac:dyDescent="0.35">
      <c r="H85"/>
    </row>
    <row r="86" spans="8:8" hidden="1" x14ac:dyDescent="0.35">
      <c r="H86"/>
    </row>
    <row r="87" spans="8:8" hidden="1" x14ac:dyDescent="0.35">
      <c r="H87"/>
    </row>
    <row r="88" spans="8:8" hidden="1" x14ac:dyDescent="0.35">
      <c r="H88"/>
    </row>
    <row r="89" spans="8:8" hidden="1" x14ac:dyDescent="0.35">
      <c r="H89"/>
    </row>
    <row r="90" spans="8:8" hidden="1" x14ac:dyDescent="0.35">
      <c r="H90"/>
    </row>
    <row r="91" spans="8:8" hidden="1" x14ac:dyDescent="0.35">
      <c r="H91"/>
    </row>
    <row r="92" spans="8:8" hidden="1" x14ac:dyDescent="0.35">
      <c r="H92"/>
    </row>
    <row r="93" spans="8:8" x14ac:dyDescent="0.35">
      <c r="H93"/>
    </row>
    <row r="94" spans="8:8" x14ac:dyDescent="0.35">
      <c r="H94"/>
    </row>
    <row r="95" spans="8:8" x14ac:dyDescent="0.35">
      <c r="H95"/>
    </row>
    <row r="96" spans="8:8" x14ac:dyDescent="0.35">
      <c r="H96"/>
    </row>
    <row r="97" spans="3:11" x14ac:dyDescent="0.35">
      <c r="H97"/>
      <c r="K97" s="8"/>
    </row>
    <row r="98" spans="3:11" x14ac:dyDescent="0.35">
      <c r="H98"/>
      <c r="I98" s="8"/>
      <c r="K98" s="8"/>
    </row>
    <row r="99" spans="3:11" x14ac:dyDescent="0.35">
      <c r="C99" s="6"/>
      <c r="F99" s="6"/>
      <c r="H99"/>
      <c r="I99" s="8"/>
      <c r="K99" s="8"/>
    </row>
    <row r="100" spans="3:11" x14ac:dyDescent="0.35">
      <c r="C100" s="6"/>
      <c r="F100" s="6"/>
      <c r="H100"/>
      <c r="I100" s="8"/>
      <c r="J100" s="10"/>
      <c r="K100" s="8"/>
    </row>
    <row r="101" spans="3:11" x14ac:dyDescent="0.35">
      <c r="C101" s="6"/>
      <c r="F101" s="6"/>
      <c r="H101"/>
      <c r="I101" s="8"/>
      <c r="J101" s="10"/>
      <c r="K101" s="8"/>
    </row>
    <row r="102" spans="3:11" x14ac:dyDescent="0.35">
      <c r="C102" s="6"/>
      <c r="F102" s="6"/>
      <c r="H102"/>
      <c r="I102" s="8"/>
      <c r="J102" s="10"/>
      <c r="K102" s="8"/>
    </row>
    <row r="103" spans="3:11" x14ac:dyDescent="0.35">
      <c r="C103" s="6"/>
      <c r="F103" s="6"/>
      <c r="H103"/>
      <c r="I103" s="8"/>
      <c r="J103" s="10"/>
      <c r="K103" s="8"/>
    </row>
    <row r="104" spans="3:11" x14ac:dyDescent="0.35">
      <c r="C104" s="6"/>
      <c r="F104" s="6"/>
      <c r="H104"/>
      <c r="I104" s="8"/>
      <c r="J104" s="10"/>
      <c r="K104" s="8"/>
    </row>
    <row r="105" spans="3:11" x14ac:dyDescent="0.35">
      <c r="C105" s="6"/>
      <c r="F105" s="6"/>
      <c r="H105"/>
      <c r="I105" s="8"/>
      <c r="J105" s="10"/>
      <c r="K105" s="8"/>
    </row>
    <row r="106" spans="3:11" x14ac:dyDescent="0.35">
      <c r="C106" s="6"/>
      <c r="F106" s="6"/>
      <c r="H106"/>
      <c r="I106" s="8"/>
      <c r="J106" s="10"/>
      <c r="K106" s="8"/>
    </row>
    <row r="107" spans="3:11" x14ac:dyDescent="0.35">
      <c r="C107" s="6"/>
      <c r="F107" s="6"/>
      <c r="H107"/>
      <c r="I107" s="8"/>
      <c r="J107" s="10"/>
      <c r="K107" s="8"/>
    </row>
    <row r="108" spans="3:11" x14ac:dyDescent="0.35">
      <c r="C108" s="6"/>
      <c r="F108" s="6"/>
      <c r="H108"/>
      <c r="I108" s="8"/>
      <c r="J108" s="10"/>
      <c r="K108" s="8"/>
    </row>
    <row r="109" spans="3:11" x14ac:dyDescent="0.35">
      <c r="C109" s="6"/>
      <c r="F109" s="6"/>
      <c r="H109"/>
      <c r="I109" s="8"/>
      <c r="J109" s="10"/>
      <c r="K109" s="8"/>
    </row>
    <row r="110" spans="3:11" x14ac:dyDescent="0.35">
      <c r="C110" s="6"/>
      <c r="F110" s="6"/>
      <c r="H110"/>
      <c r="I110" s="8"/>
      <c r="J110" s="10"/>
      <c r="K110" s="8"/>
    </row>
    <row r="111" spans="3:11" x14ac:dyDescent="0.35">
      <c r="C111" s="6"/>
      <c r="F111" s="6"/>
      <c r="H111"/>
      <c r="I111" s="8"/>
      <c r="J111" s="10"/>
      <c r="K111" s="8"/>
    </row>
    <row r="112" spans="3:11" x14ac:dyDescent="0.35">
      <c r="C112" s="6"/>
      <c r="F112" s="6"/>
      <c r="H112"/>
      <c r="I112" s="8"/>
      <c r="J112" s="10"/>
      <c r="K112" s="8"/>
    </row>
    <row r="113" spans="3:11" x14ac:dyDescent="0.35">
      <c r="C113" s="6"/>
      <c r="F113" s="6"/>
      <c r="H113"/>
      <c r="I113" s="8"/>
      <c r="J113" s="10"/>
      <c r="K113" s="8"/>
    </row>
    <row r="114" spans="3:11" x14ac:dyDescent="0.35">
      <c r="C114" s="6"/>
      <c r="F114" s="6"/>
      <c r="H114"/>
      <c r="I114" s="8"/>
      <c r="J114" s="10"/>
      <c r="K114" s="8"/>
    </row>
    <row r="115" spans="3:11" x14ac:dyDescent="0.35">
      <c r="C115" s="6"/>
      <c r="F115" s="6"/>
      <c r="H115"/>
      <c r="I115" s="8"/>
      <c r="J115" s="10"/>
      <c r="K115" s="8"/>
    </row>
    <row r="116" spans="3:11" x14ac:dyDescent="0.35">
      <c r="C116" s="6"/>
      <c r="F116" s="6"/>
      <c r="H116"/>
      <c r="I116" s="8"/>
      <c r="J116" s="10"/>
      <c r="K116" s="8"/>
    </row>
    <row r="117" spans="3:11" x14ac:dyDescent="0.35">
      <c r="C117" s="6"/>
      <c r="F117" s="6"/>
      <c r="H117"/>
      <c r="I117" s="8"/>
      <c r="J117" s="10"/>
      <c r="K117" s="8"/>
    </row>
    <row r="118" spans="3:11" x14ac:dyDescent="0.35">
      <c r="C118" s="6"/>
      <c r="F118" s="6"/>
      <c r="H118"/>
      <c r="I118" s="8"/>
      <c r="J118" s="10"/>
      <c r="K118" s="8"/>
    </row>
    <row r="119" spans="3:11" x14ac:dyDescent="0.35">
      <c r="C119" s="6"/>
      <c r="F119" s="6"/>
      <c r="H119"/>
      <c r="I119" s="8"/>
      <c r="J119" s="10"/>
      <c r="K119" s="8"/>
    </row>
    <row r="120" spans="3:11" x14ac:dyDescent="0.35">
      <c r="C120" s="6"/>
      <c r="F120" s="6"/>
      <c r="H120"/>
      <c r="I120" s="8"/>
      <c r="J120" s="10"/>
      <c r="K120" s="8"/>
    </row>
    <row r="121" spans="3:11" x14ac:dyDescent="0.35">
      <c r="C121" s="6"/>
      <c r="F121" s="6"/>
      <c r="H121"/>
      <c r="I121" s="8"/>
      <c r="J121" s="10"/>
      <c r="K121" s="8"/>
    </row>
    <row r="122" spans="3:11" x14ac:dyDescent="0.35">
      <c r="C122" s="6"/>
      <c r="F122" s="6"/>
      <c r="H122"/>
      <c r="I122" s="8"/>
      <c r="J122" s="10"/>
      <c r="K122" s="8"/>
    </row>
    <row r="123" spans="3:11" x14ac:dyDescent="0.35">
      <c r="C123" s="6"/>
      <c r="F123" s="6"/>
      <c r="H123"/>
      <c r="I123" s="8"/>
      <c r="J123" s="10"/>
      <c r="K123" s="8"/>
    </row>
    <row r="124" spans="3:11" x14ac:dyDescent="0.35">
      <c r="C124" s="6"/>
      <c r="F124" s="6"/>
      <c r="H124"/>
      <c r="I124" s="8"/>
      <c r="J124" s="10"/>
      <c r="K124" s="8"/>
    </row>
    <row r="125" spans="3:11" x14ac:dyDescent="0.35">
      <c r="C125" s="6"/>
      <c r="F125" s="6"/>
      <c r="H125"/>
      <c r="I125" s="8"/>
      <c r="J125" s="10"/>
      <c r="K125" s="8"/>
    </row>
    <row r="126" spans="3:11" x14ac:dyDescent="0.35">
      <c r="C126" s="6"/>
      <c r="F126" s="6"/>
      <c r="H126"/>
      <c r="I126" s="8"/>
      <c r="J126" s="10"/>
      <c r="K126" s="8"/>
    </row>
    <row r="127" spans="3:11" x14ac:dyDescent="0.35">
      <c r="C127" s="6"/>
      <c r="F127" s="6"/>
      <c r="H127"/>
      <c r="I127" s="8"/>
      <c r="J127" s="10"/>
      <c r="K127" s="8"/>
    </row>
    <row r="128" spans="3:11" x14ac:dyDescent="0.35">
      <c r="C128" s="6"/>
      <c r="F128" s="6"/>
      <c r="H128"/>
      <c r="I128" s="8"/>
      <c r="J128" s="10"/>
      <c r="K128" s="8"/>
    </row>
    <row r="129" spans="3:11" x14ac:dyDescent="0.35">
      <c r="C129" s="6"/>
      <c r="F129" s="6"/>
      <c r="H129"/>
      <c r="I129" s="8"/>
      <c r="J129" s="10"/>
      <c r="K129" s="8"/>
    </row>
    <row r="130" spans="3:11" x14ac:dyDescent="0.35">
      <c r="C130" s="6"/>
      <c r="F130" s="6"/>
      <c r="H130"/>
      <c r="I130" s="8"/>
      <c r="J130" s="10"/>
      <c r="K130" s="8"/>
    </row>
    <row r="131" spans="3:11" x14ac:dyDescent="0.35">
      <c r="C131" s="6"/>
      <c r="F131" s="6"/>
      <c r="H131"/>
      <c r="I131" s="8"/>
      <c r="J131" s="10"/>
      <c r="K131" s="8"/>
    </row>
    <row r="132" spans="3:11" x14ac:dyDescent="0.35">
      <c r="C132" s="6"/>
      <c r="F132" s="6"/>
      <c r="H132"/>
      <c r="I132" s="8"/>
      <c r="J132" s="10"/>
      <c r="K132" s="8"/>
    </row>
    <row r="133" spans="3:11" x14ac:dyDescent="0.35">
      <c r="C133" s="6"/>
      <c r="F133" s="6"/>
      <c r="H133"/>
      <c r="I133" s="8"/>
      <c r="J133" s="10"/>
      <c r="K133" s="8"/>
    </row>
    <row r="134" spans="3:11" x14ac:dyDescent="0.35">
      <c r="C134" s="6"/>
      <c r="F134" s="6"/>
      <c r="H134"/>
      <c r="I134" s="8"/>
      <c r="J134" s="10"/>
      <c r="K134" s="8"/>
    </row>
    <row r="135" spans="3:11" x14ac:dyDescent="0.35">
      <c r="C135" s="6"/>
      <c r="F135" s="6"/>
      <c r="H135"/>
      <c r="I135" s="8"/>
      <c r="J135" s="10"/>
      <c r="K135" s="8"/>
    </row>
    <row r="136" spans="3:11" x14ac:dyDescent="0.35">
      <c r="C136" s="6"/>
      <c r="F136" s="6"/>
      <c r="H136"/>
      <c r="I136" s="8"/>
      <c r="J136" s="10"/>
      <c r="K136" s="8"/>
    </row>
    <row r="137" spans="3:11" x14ac:dyDescent="0.35">
      <c r="C137" s="6"/>
      <c r="F137" s="6"/>
      <c r="H137"/>
      <c r="I137" s="8"/>
      <c r="J137" s="10"/>
      <c r="K137" s="8"/>
    </row>
    <row r="138" spans="3:11" x14ac:dyDescent="0.35">
      <c r="C138" s="6"/>
      <c r="F138" s="6"/>
      <c r="H138"/>
      <c r="I138" s="8"/>
      <c r="J138" s="10"/>
      <c r="K138" s="8"/>
    </row>
    <row r="139" spans="3:11" x14ac:dyDescent="0.35">
      <c r="C139" s="6"/>
      <c r="F139" s="6"/>
      <c r="H139"/>
      <c r="I139" s="8"/>
      <c r="J139" s="10"/>
      <c r="K139" s="8"/>
    </row>
    <row r="140" spans="3:11" x14ac:dyDescent="0.35">
      <c r="C140" s="6"/>
      <c r="F140" s="6"/>
      <c r="H140"/>
      <c r="I140" s="8"/>
      <c r="J140" s="10"/>
      <c r="K140" s="8"/>
    </row>
    <row r="141" spans="3:11" x14ac:dyDescent="0.35">
      <c r="C141" s="6"/>
      <c r="F141" s="6"/>
      <c r="H141"/>
      <c r="I141" s="8"/>
      <c r="J141" s="10"/>
      <c r="K141" s="8"/>
    </row>
    <row r="142" spans="3:11" x14ac:dyDescent="0.35">
      <c r="C142" s="6"/>
      <c r="F142" s="6"/>
      <c r="H142"/>
      <c r="I142" s="8"/>
      <c r="J142" s="10"/>
      <c r="K142" s="8"/>
    </row>
    <row r="143" spans="3:11" x14ac:dyDescent="0.35">
      <c r="C143" s="6"/>
      <c r="F143" s="6"/>
      <c r="H143"/>
      <c r="I143" s="8"/>
      <c r="J143" s="10"/>
      <c r="K143" s="8"/>
    </row>
    <row r="144" spans="3:11" x14ac:dyDescent="0.35">
      <c r="C144" s="6"/>
      <c r="F144" s="6"/>
      <c r="H144"/>
      <c r="I144" s="8"/>
      <c r="J144" s="10"/>
      <c r="K144" s="8"/>
    </row>
    <row r="145" spans="3:11" x14ac:dyDescent="0.35">
      <c r="C145" s="6"/>
      <c r="F145" s="6"/>
      <c r="H145"/>
      <c r="I145" s="8"/>
      <c r="J145" s="10"/>
      <c r="K145" s="8"/>
    </row>
    <row r="146" spans="3:11" x14ac:dyDescent="0.35">
      <c r="C146" s="6"/>
      <c r="F146" s="6"/>
      <c r="H146"/>
      <c r="I146" s="8"/>
      <c r="J146" s="10"/>
      <c r="K146" s="8"/>
    </row>
    <row r="147" spans="3:11" x14ac:dyDescent="0.35">
      <c r="C147" s="6"/>
      <c r="F147" s="6"/>
      <c r="H147"/>
      <c r="I147" s="8"/>
      <c r="J147" s="10"/>
      <c r="K147" s="8"/>
    </row>
    <row r="148" spans="3:11" x14ac:dyDescent="0.35">
      <c r="C148" s="6"/>
      <c r="F148" s="6"/>
      <c r="H148"/>
      <c r="I148" s="8"/>
      <c r="J148" s="10"/>
      <c r="K148" s="8"/>
    </row>
    <row r="149" spans="3:11" x14ac:dyDescent="0.35">
      <c r="C149" s="6"/>
      <c r="F149" s="6"/>
      <c r="H149"/>
      <c r="I149" s="8"/>
      <c r="J149" s="10"/>
      <c r="K149" s="8"/>
    </row>
    <row r="150" spans="3:11" x14ac:dyDescent="0.35">
      <c r="C150" s="6"/>
      <c r="F150" s="6"/>
      <c r="H150"/>
      <c r="I150" s="8"/>
      <c r="J150" s="10"/>
      <c r="K150" s="8"/>
    </row>
    <row r="151" spans="3:11" x14ac:dyDescent="0.35">
      <c r="C151" s="6"/>
      <c r="F151" s="6"/>
      <c r="H151"/>
      <c r="I151" s="8"/>
      <c r="J151" s="10"/>
      <c r="K151" s="8"/>
    </row>
    <row r="152" spans="3:11" x14ac:dyDescent="0.35">
      <c r="C152" s="6"/>
      <c r="F152" s="6"/>
      <c r="H152"/>
      <c r="I152" s="8"/>
      <c r="J152" s="10"/>
      <c r="K152" s="8"/>
    </row>
    <row r="153" spans="3:11" x14ac:dyDescent="0.35">
      <c r="C153" s="6"/>
      <c r="F153" s="6"/>
      <c r="H153"/>
      <c r="I153" s="8"/>
      <c r="J153" s="10"/>
      <c r="K153" s="8"/>
    </row>
    <row r="154" spans="3:11" x14ac:dyDescent="0.35">
      <c r="C154" s="6"/>
      <c r="F154" s="6"/>
      <c r="H154"/>
      <c r="I154" s="8"/>
      <c r="J154" s="10"/>
      <c r="K154" s="8"/>
    </row>
    <row r="155" spans="3:11" x14ac:dyDescent="0.35">
      <c r="C155" s="6"/>
      <c r="F155" s="6"/>
      <c r="H155"/>
      <c r="I155" s="8"/>
      <c r="J155" s="10"/>
      <c r="K155" s="8"/>
    </row>
    <row r="156" spans="3:11" x14ac:dyDescent="0.35">
      <c r="C156" s="6"/>
      <c r="F156" s="6"/>
      <c r="H156"/>
      <c r="I156" s="8"/>
      <c r="J156" s="10"/>
      <c r="K156" s="8"/>
    </row>
    <row r="157" spans="3:11" x14ac:dyDescent="0.35">
      <c r="C157" s="6"/>
      <c r="F157" s="6"/>
      <c r="H157"/>
      <c r="I157" s="8"/>
      <c r="J157" s="10"/>
      <c r="K157" s="8"/>
    </row>
    <row r="158" spans="3:11" x14ac:dyDescent="0.35">
      <c r="C158" s="6"/>
      <c r="F158" s="6"/>
      <c r="H158"/>
      <c r="I158" s="8"/>
      <c r="J158" s="10"/>
      <c r="K158" s="8"/>
    </row>
    <row r="159" spans="3:11" x14ac:dyDescent="0.35">
      <c r="C159" s="6"/>
      <c r="F159" s="6"/>
      <c r="H159"/>
      <c r="I159" s="8"/>
      <c r="J159" s="10"/>
      <c r="K159" s="8"/>
    </row>
    <row r="160" spans="3:11" x14ac:dyDescent="0.35">
      <c r="C160" s="6"/>
      <c r="F160" s="6"/>
      <c r="H160"/>
      <c r="I160" s="8"/>
      <c r="J160" s="10"/>
      <c r="K160" s="8"/>
    </row>
    <row r="161" spans="3:11" x14ac:dyDescent="0.35">
      <c r="C161" s="6"/>
      <c r="F161" s="6"/>
      <c r="H161"/>
      <c r="I161" s="8"/>
      <c r="J161" s="10"/>
      <c r="K161" s="8"/>
    </row>
    <row r="162" spans="3:11" x14ac:dyDescent="0.35">
      <c r="C162" s="6"/>
      <c r="F162" s="6"/>
      <c r="H162"/>
      <c r="I162" s="8"/>
      <c r="J162" s="10"/>
      <c r="K162" s="8"/>
    </row>
    <row r="163" spans="3:11" x14ac:dyDescent="0.35">
      <c r="C163" s="6"/>
      <c r="F163" s="6"/>
      <c r="H163"/>
      <c r="I163" s="8"/>
      <c r="J163" s="10"/>
      <c r="K163" s="8"/>
    </row>
    <row r="164" spans="3:11" x14ac:dyDescent="0.35">
      <c r="C164" s="6"/>
      <c r="F164" s="6"/>
      <c r="H164"/>
      <c r="I164" s="8"/>
      <c r="J164" s="10"/>
      <c r="K164" s="8"/>
    </row>
    <row r="165" spans="3:11" x14ac:dyDescent="0.35">
      <c r="C165" s="6"/>
      <c r="F165" s="6"/>
      <c r="H165"/>
      <c r="I165" s="8"/>
      <c r="J165" s="10"/>
      <c r="K165" s="8"/>
    </row>
    <row r="166" spans="3:11" x14ac:dyDescent="0.35">
      <c r="C166" s="6"/>
      <c r="F166" s="6"/>
      <c r="H166"/>
      <c r="I166" s="8"/>
      <c r="J166" s="10"/>
      <c r="K166" s="8"/>
    </row>
    <row r="167" spans="3:11" x14ac:dyDescent="0.35">
      <c r="C167" s="6"/>
      <c r="F167" s="6"/>
      <c r="H167"/>
      <c r="I167" s="8"/>
      <c r="J167" s="10"/>
      <c r="K167" s="8"/>
    </row>
    <row r="168" spans="3:11" x14ac:dyDescent="0.35">
      <c r="C168" s="6"/>
      <c r="F168" s="6"/>
      <c r="H168"/>
      <c r="I168" s="8"/>
      <c r="J168" s="10"/>
      <c r="K168" s="8"/>
    </row>
    <row r="169" spans="3:11" x14ac:dyDescent="0.35">
      <c r="C169" s="6"/>
      <c r="F169" s="6"/>
      <c r="H169"/>
      <c r="I169" s="8"/>
      <c r="J169" s="10"/>
      <c r="K169" s="8"/>
    </row>
    <row r="170" spans="3:11" x14ac:dyDescent="0.35">
      <c r="C170" s="6"/>
      <c r="F170" s="6"/>
      <c r="H170"/>
      <c r="I170" s="8"/>
      <c r="J170" s="10"/>
      <c r="K170" s="8"/>
    </row>
    <row r="171" spans="3:11" x14ac:dyDescent="0.35">
      <c r="C171" s="6"/>
      <c r="F171" s="6"/>
      <c r="H171"/>
      <c r="I171" s="8"/>
      <c r="J171" s="10"/>
      <c r="K171" s="8"/>
    </row>
    <row r="172" spans="3:11" x14ac:dyDescent="0.35">
      <c r="C172" s="6"/>
      <c r="F172" s="6"/>
      <c r="H172"/>
      <c r="I172" s="8"/>
      <c r="J172" s="10"/>
      <c r="K172" s="8"/>
    </row>
    <row r="173" spans="3:11" x14ac:dyDescent="0.35">
      <c r="C173" s="6"/>
      <c r="F173" s="6"/>
      <c r="H173"/>
      <c r="I173" s="8"/>
      <c r="J173" s="10"/>
      <c r="K173" s="8"/>
    </row>
    <row r="174" spans="3:11" x14ac:dyDescent="0.35">
      <c r="C174" s="6"/>
      <c r="F174" s="6"/>
      <c r="H174"/>
      <c r="I174" s="8"/>
      <c r="J174" s="10"/>
      <c r="K174" s="8"/>
    </row>
    <row r="175" spans="3:11" x14ac:dyDescent="0.35">
      <c r="C175" s="6"/>
      <c r="F175" s="6"/>
      <c r="H175"/>
      <c r="I175" s="8"/>
      <c r="J175" s="10"/>
      <c r="K175" s="8"/>
    </row>
    <row r="176" spans="3:11" x14ac:dyDescent="0.35">
      <c r="C176" s="6"/>
      <c r="F176" s="6"/>
      <c r="H176"/>
      <c r="I176" s="8"/>
      <c r="J176" s="10"/>
      <c r="K176" s="8"/>
    </row>
    <row r="177" spans="3:11" x14ac:dyDescent="0.35">
      <c r="C177" s="6"/>
      <c r="F177" s="6"/>
      <c r="H177"/>
      <c r="I177" s="8"/>
      <c r="J177" s="10"/>
      <c r="K177" s="8"/>
    </row>
    <row r="178" spans="3:11" x14ac:dyDescent="0.35">
      <c r="C178" s="6"/>
      <c r="F178" s="6"/>
      <c r="H178"/>
      <c r="I178" s="8"/>
      <c r="J178" s="10"/>
      <c r="K178" s="8"/>
    </row>
    <row r="179" spans="3:11" x14ac:dyDescent="0.35">
      <c r="C179" s="6"/>
      <c r="F179" s="6"/>
      <c r="H179"/>
      <c r="I179" s="8"/>
      <c r="J179" s="10"/>
      <c r="K179" s="8"/>
    </row>
    <row r="180" spans="3:11" x14ac:dyDescent="0.35">
      <c r="C180" s="6"/>
      <c r="F180" s="6"/>
      <c r="H180"/>
      <c r="I180" s="8"/>
      <c r="J180" s="10"/>
      <c r="K180" s="8"/>
    </row>
    <row r="181" spans="3:11" x14ac:dyDescent="0.35">
      <c r="C181" s="6"/>
      <c r="F181" s="6"/>
      <c r="H181"/>
      <c r="I181" s="8"/>
      <c r="J181" s="10"/>
      <c r="K181" s="8"/>
    </row>
    <row r="182" spans="3:11" x14ac:dyDescent="0.35">
      <c r="C182" s="6"/>
      <c r="F182" s="6"/>
      <c r="H182"/>
      <c r="I182" s="8"/>
      <c r="J182" s="10"/>
      <c r="K182" s="8"/>
    </row>
    <row r="183" spans="3:11" x14ac:dyDescent="0.35">
      <c r="C183" s="6"/>
      <c r="F183" s="6"/>
      <c r="H183"/>
      <c r="I183" s="8"/>
      <c r="J183" s="10"/>
      <c r="K183" s="8"/>
    </row>
    <row r="184" spans="3:11" x14ac:dyDescent="0.35">
      <c r="C184" s="6"/>
      <c r="F184" s="6"/>
      <c r="H184"/>
      <c r="I184" s="8"/>
      <c r="J184" s="10"/>
      <c r="K184" s="8"/>
    </row>
    <row r="185" spans="3:11" x14ac:dyDescent="0.35">
      <c r="C185" s="6"/>
      <c r="F185" s="6"/>
      <c r="H185"/>
      <c r="I185" s="8"/>
      <c r="J185" s="10"/>
      <c r="K185" s="8"/>
    </row>
    <row r="186" spans="3:11" x14ac:dyDescent="0.35">
      <c r="C186" s="6"/>
      <c r="F186" s="6"/>
      <c r="H186"/>
      <c r="I186" s="8"/>
      <c r="J186" s="10"/>
      <c r="K186" s="8"/>
    </row>
    <row r="187" spans="3:11" x14ac:dyDescent="0.35">
      <c r="C187" s="6"/>
      <c r="F187" s="6"/>
      <c r="H187"/>
      <c r="I187" s="8"/>
      <c r="J187" s="10"/>
      <c r="K187" s="8"/>
    </row>
    <row r="188" spans="3:11" x14ac:dyDescent="0.35">
      <c r="C188" s="6"/>
      <c r="F188" s="6"/>
      <c r="H188"/>
      <c r="I188" s="8"/>
      <c r="J188" s="10"/>
      <c r="K188" s="8"/>
    </row>
    <row r="189" spans="3:11" x14ac:dyDescent="0.35">
      <c r="C189" s="6"/>
      <c r="F189" s="6"/>
      <c r="H189"/>
      <c r="I189" s="8"/>
      <c r="J189" s="10"/>
      <c r="K189" s="8"/>
    </row>
    <row r="190" spans="3:11" x14ac:dyDescent="0.35">
      <c r="C190" s="6"/>
      <c r="F190" s="6"/>
      <c r="H190"/>
      <c r="I190" s="8"/>
      <c r="J190" s="10"/>
      <c r="K190" s="8"/>
    </row>
    <row r="191" spans="3:11" x14ac:dyDescent="0.35">
      <c r="C191" s="6"/>
      <c r="F191" s="6"/>
      <c r="H191"/>
      <c r="I191" s="8"/>
      <c r="J191" s="10"/>
      <c r="K191" s="8"/>
    </row>
    <row r="192" spans="3:11" x14ac:dyDescent="0.35">
      <c r="C192" s="6"/>
      <c r="F192" s="6"/>
      <c r="H192"/>
      <c r="I192" s="8"/>
      <c r="J192" s="10"/>
      <c r="K192" s="8"/>
    </row>
    <row r="193" spans="3:11" x14ac:dyDescent="0.35">
      <c r="C193" s="6"/>
      <c r="F193" s="6"/>
      <c r="H193"/>
      <c r="I193" s="8"/>
      <c r="J193" s="10"/>
      <c r="K193" s="8"/>
    </row>
    <row r="194" spans="3:11" x14ac:dyDescent="0.35">
      <c r="C194" s="6"/>
      <c r="F194" s="6"/>
      <c r="H194"/>
      <c r="I194" s="8"/>
      <c r="J194" s="10"/>
      <c r="K194" s="8"/>
    </row>
    <row r="195" spans="3:11" x14ac:dyDescent="0.35">
      <c r="C195" s="6"/>
      <c r="F195" s="6"/>
      <c r="H195"/>
      <c r="I195" s="8"/>
      <c r="J195" s="10"/>
      <c r="K195" s="8"/>
    </row>
    <row r="196" spans="3:11" x14ac:dyDescent="0.35">
      <c r="C196" s="6"/>
      <c r="F196" s="6"/>
      <c r="H196"/>
      <c r="I196" s="8"/>
      <c r="J196" s="10"/>
      <c r="K196" s="8"/>
    </row>
    <row r="197" spans="3:11" x14ac:dyDescent="0.35">
      <c r="C197" s="6"/>
      <c r="F197" s="6"/>
      <c r="H197"/>
      <c r="I197" s="8"/>
      <c r="J197" s="10"/>
      <c r="K197" s="8"/>
    </row>
    <row r="198" spans="3:11" x14ac:dyDescent="0.35">
      <c r="C198" s="6"/>
      <c r="F198" s="6"/>
      <c r="H198"/>
      <c r="I198" s="8"/>
      <c r="J198" s="10"/>
      <c r="K198" s="8"/>
    </row>
    <row r="199" spans="3:11" x14ac:dyDescent="0.35">
      <c r="C199" s="6"/>
      <c r="F199" s="6"/>
      <c r="H199"/>
      <c r="I199" s="8"/>
      <c r="J199" s="10"/>
      <c r="K199" s="8"/>
    </row>
    <row r="200" spans="3:11" x14ac:dyDescent="0.35">
      <c r="C200" s="6"/>
      <c r="F200" s="6"/>
      <c r="H200"/>
      <c r="I200" s="8"/>
      <c r="J200" s="10"/>
      <c r="K200" s="8"/>
    </row>
    <row r="201" spans="3:11" x14ac:dyDescent="0.35">
      <c r="C201" s="6"/>
      <c r="F201" s="6"/>
      <c r="H201"/>
      <c r="I201" s="8"/>
      <c r="J201" s="10"/>
      <c r="K201" s="8"/>
    </row>
    <row r="202" spans="3:11" x14ac:dyDescent="0.35">
      <c r="C202" s="6"/>
      <c r="F202" s="6"/>
      <c r="H202"/>
      <c r="I202" s="8"/>
      <c r="J202" s="10"/>
      <c r="K202" s="8"/>
    </row>
    <row r="203" spans="3:11" x14ac:dyDescent="0.35">
      <c r="C203" s="6"/>
      <c r="F203" s="6"/>
      <c r="H203"/>
      <c r="I203" s="8"/>
      <c r="J203" s="10"/>
      <c r="K203" s="8"/>
    </row>
    <row r="204" spans="3:11" x14ac:dyDescent="0.35">
      <c r="C204" s="6"/>
      <c r="F204" s="6"/>
      <c r="H204"/>
      <c r="I204" s="8"/>
      <c r="J204" s="10"/>
      <c r="K204" s="8"/>
    </row>
    <row r="205" spans="3:11" x14ac:dyDescent="0.35">
      <c r="C205" s="6"/>
      <c r="F205" s="6"/>
      <c r="H205"/>
      <c r="I205" s="8"/>
      <c r="J205" s="10"/>
      <c r="K205" s="8"/>
    </row>
    <row r="206" spans="3:11" x14ac:dyDescent="0.35">
      <c r="C206" s="6"/>
      <c r="F206" s="6"/>
      <c r="H206"/>
      <c r="I206" s="8"/>
      <c r="J206" s="10"/>
      <c r="K206" s="8"/>
    </row>
    <row r="207" spans="3:11" x14ac:dyDescent="0.35">
      <c r="C207" s="6"/>
      <c r="F207" s="6"/>
      <c r="H207"/>
      <c r="I207" s="8"/>
      <c r="J207" s="10"/>
      <c r="K207" s="8"/>
    </row>
    <row r="208" spans="3:11" x14ac:dyDescent="0.35">
      <c r="C208" s="6"/>
      <c r="F208" s="6"/>
      <c r="H208"/>
      <c r="I208" s="8"/>
      <c r="J208" s="10"/>
      <c r="K208" s="8"/>
    </row>
    <row r="209" spans="3:11" x14ac:dyDescent="0.35">
      <c r="C209" s="6"/>
      <c r="F209" s="6"/>
      <c r="H209"/>
      <c r="I209" s="8"/>
      <c r="J209" s="10"/>
      <c r="K209" s="8"/>
    </row>
    <row r="210" spans="3:11" x14ac:dyDescent="0.35">
      <c r="C210" s="6"/>
      <c r="F210" s="6"/>
      <c r="H210"/>
      <c r="I210" s="8"/>
      <c r="J210" s="10"/>
      <c r="K210" s="8"/>
    </row>
    <row r="211" spans="3:11" x14ac:dyDescent="0.35">
      <c r="C211" s="6"/>
      <c r="F211" s="6"/>
      <c r="H211"/>
      <c r="I211" s="8"/>
      <c r="J211" s="10"/>
      <c r="K211" s="8"/>
    </row>
    <row r="212" spans="3:11" x14ac:dyDescent="0.35">
      <c r="C212" s="6"/>
      <c r="F212" s="6"/>
      <c r="H212"/>
      <c r="I212" s="8"/>
      <c r="J212" s="10"/>
      <c r="K212" s="8"/>
    </row>
    <row r="213" spans="3:11" x14ac:dyDescent="0.35">
      <c r="C213" s="6"/>
      <c r="F213" s="6"/>
      <c r="H213"/>
      <c r="I213" s="8"/>
      <c r="J213" s="10"/>
      <c r="K213" s="8"/>
    </row>
    <row r="214" spans="3:11" x14ac:dyDescent="0.35">
      <c r="C214" s="6"/>
      <c r="F214" s="6"/>
      <c r="H214"/>
      <c r="I214" s="8"/>
      <c r="J214" s="10"/>
      <c r="K214" s="8"/>
    </row>
    <row r="215" spans="3:11" x14ac:dyDescent="0.35">
      <c r="C215" s="6"/>
      <c r="F215" s="6"/>
      <c r="H215"/>
      <c r="I215" s="8"/>
      <c r="J215" s="10"/>
      <c r="K215" s="8"/>
    </row>
    <row r="216" spans="3:11" x14ac:dyDescent="0.35">
      <c r="C216" s="6"/>
      <c r="F216" s="6"/>
      <c r="H216"/>
      <c r="I216" s="8"/>
      <c r="J216" s="10"/>
      <c r="K216" s="8"/>
    </row>
    <row r="217" spans="3:11" x14ac:dyDescent="0.35">
      <c r="C217" s="6"/>
      <c r="F217" s="6"/>
      <c r="H217"/>
      <c r="I217" s="8"/>
      <c r="J217" s="10"/>
      <c r="K217" s="8"/>
    </row>
    <row r="218" spans="3:11" x14ac:dyDescent="0.35">
      <c r="C218" s="6"/>
      <c r="F218" s="6"/>
      <c r="H218"/>
      <c r="I218" s="8"/>
      <c r="J218" s="10"/>
      <c r="K218" s="8"/>
    </row>
    <row r="219" spans="3:11" x14ac:dyDescent="0.35">
      <c r="C219" s="6"/>
      <c r="F219" s="6"/>
      <c r="H219"/>
      <c r="I219" s="8"/>
      <c r="J219" s="10"/>
      <c r="K219" s="8"/>
    </row>
    <row r="220" spans="3:11" x14ac:dyDescent="0.35">
      <c r="C220" s="6"/>
      <c r="F220" s="6"/>
      <c r="H220"/>
      <c r="I220" s="8"/>
      <c r="J220" s="10"/>
      <c r="K220" s="8"/>
    </row>
    <row r="221" spans="3:11" x14ac:dyDescent="0.35">
      <c r="C221" s="6"/>
      <c r="F221" s="6"/>
      <c r="H221"/>
      <c r="I221" s="8"/>
      <c r="J221" s="10"/>
      <c r="K221" s="8"/>
    </row>
    <row r="222" spans="3:11" x14ac:dyDescent="0.35">
      <c r="C222" s="6"/>
      <c r="F222" s="6"/>
      <c r="H222"/>
      <c r="I222" s="8"/>
      <c r="J222" s="10"/>
      <c r="K222" s="8"/>
    </row>
    <row r="223" spans="3:11" x14ac:dyDescent="0.35">
      <c r="C223" s="6"/>
      <c r="F223" s="6"/>
      <c r="H223"/>
      <c r="I223" s="8"/>
      <c r="J223" s="10"/>
      <c r="K223" s="8"/>
    </row>
    <row r="224" spans="3:11" x14ac:dyDescent="0.35">
      <c r="C224" s="6"/>
      <c r="F224" s="6"/>
      <c r="H224"/>
      <c r="I224" s="8"/>
      <c r="J224" s="10"/>
      <c r="K224" s="8"/>
    </row>
    <row r="225" spans="3:11" x14ac:dyDescent="0.35">
      <c r="C225" s="6"/>
      <c r="F225" s="6"/>
      <c r="H225"/>
      <c r="I225" s="8"/>
      <c r="J225" s="10"/>
      <c r="K225" s="8"/>
    </row>
    <row r="226" spans="3:11" x14ac:dyDescent="0.35">
      <c r="C226" s="6"/>
      <c r="F226" s="6"/>
      <c r="H226"/>
      <c r="I226" s="8"/>
      <c r="J226" s="10"/>
      <c r="K226" s="8"/>
    </row>
    <row r="227" spans="3:11" x14ac:dyDescent="0.35">
      <c r="C227" s="6"/>
      <c r="F227" s="6"/>
      <c r="H227"/>
      <c r="I227" s="8"/>
      <c r="J227" s="10"/>
      <c r="K227" s="8"/>
    </row>
    <row r="228" spans="3:11" x14ac:dyDescent="0.35">
      <c r="C228" s="6"/>
      <c r="F228" s="6"/>
      <c r="H228"/>
      <c r="I228" s="8"/>
      <c r="J228" s="10"/>
      <c r="K228" s="8"/>
    </row>
    <row r="229" spans="3:11" x14ac:dyDescent="0.35">
      <c r="C229" s="6"/>
      <c r="F229" s="6"/>
      <c r="H229"/>
      <c r="I229" s="8"/>
      <c r="J229" s="10"/>
      <c r="K229" s="8"/>
    </row>
    <row r="230" spans="3:11" x14ac:dyDescent="0.35">
      <c r="C230" s="6"/>
      <c r="F230" s="6"/>
      <c r="H230"/>
      <c r="I230" s="8"/>
      <c r="J230" s="10"/>
      <c r="K230" s="8"/>
    </row>
    <row r="231" spans="3:11" x14ac:dyDescent="0.35">
      <c r="C231" s="6"/>
      <c r="F231" s="6"/>
      <c r="H231"/>
      <c r="I231" s="8"/>
      <c r="J231" s="10"/>
      <c r="K231" s="8"/>
    </row>
    <row r="232" spans="3:11" x14ac:dyDescent="0.35">
      <c r="C232" s="6"/>
      <c r="F232" s="6"/>
      <c r="H232"/>
      <c r="I232" s="8"/>
      <c r="J232" s="10"/>
      <c r="K232" s="8"/>
    </row>
    <row r="233" spans="3:11" x14ac:dyDescent="0.35">
      <c r="C233" s="6"/>
      <c r="F233" s="6"/>
      <c r="H233"/>
      <c r="I233" s="8"/>
      <c r="J233" s="10"/>
      <c r="K233" s="8"/>
    </row>
    <row r="234" spans="3:11" x14ac:dyDescent="0.35">
      <c r="C234" s="6"/>
      <c r="F234" s="6"/>
      <c r="H234"/>
      <c r="I234" s="8"/>
      <c r="J234" s="10"/>
      <c r="K234" s="8"/>
    </row>
    <row r="235" spans="3:11" x14ac:dyDescent="0.35">
      <c r="C235" s="6"/>
      <c r="F235" s="6"/>
      <c r="H235"/>
      <c r="I235" s="8"/>
      <c r="J235" s="10"/>
      <c r="K235" s="8"/>
    </row>
    <row r="236" spans="3:11" x14ac:dyDescent="0.35">
      <c r="C236" s="6"/>
      <c r="F236" s="6"/>
      <c r="H236"/>
      <c r="I236" s="8"/>
      <c r="J236" s="10"/>
      <c r="K236" s="8"/>
    </row>
    <row r="237" spans="3:11" x14ac:dyDescent="0.35">
      <c r="C237" s="6"/>
      <c r="F237" s="6"/>
      <c r="H237"/>
      <c r="I237" s="8"/>
      <c r="J237" s="10"/>
      <c r="K237" s="8"/>
    </row>
    <row r="238" spans="3:11" x14ac:dyDescent="0.35">
      <c r="C238" s="6"/>
      <c r="F238" s="6"/>
      <c r="H238"/>
      <c r="I238" s="8"/>
      <c r="J238" s="10"/>
      <c r="K238" s="8"/>
    </row>
    <row r="239" spans="3:11" x14ac:dyDescent="0.35">
      <c r="C239" s="6"/>
      <c r="F239" s="6"/>
      <c r="H239"/>
      <c r="I239" s="8"/>
      <c r="J239" s="10"/>
      <c r="K239" s="8"/>
    </row>
    <row r="240" spans="3:11" x14ac:dyDescent="0.35">
      <c r="C240" s="6"/>
      <c r="F240" s="6"/>
      <c r="H240"/>
      <c r="I240" s="8"/>
      <c r="J240" s="10"/>
      <c r="K240" s="8"/>
    </row>
    <row r="241" spans="3:11" x14ac:dyDescent="0.35">
      <c r="C241" s="6"/>
      <c r="F241" s="6"/>
      <c r="H241"/>
      <c r="I241" s="8"/>
      <c r="J241" s="10"/>
      <c r="K241" s="8"/>
    </row>
    <row r="242" spans="3:11" x14ac:dyDescent="0.35">
      <c r="C242" s="6"/>
      <c r="F242" s="6"/>
      <c r="H242"/>
      <c r="I242" s="8"/>
      <c r="J242" s="10"/>
      <c r="K242" s="8"/>
    </row>
    <row r="243" spans="3:11" x14ac:dyDescent="0.35">
      <c r="C243" s="6"/>
      <c r="F243" s="6"/>
      <c r="H243"/>
      <c r="I243" s="8"/>
      <c r="J243" s="10"/>
      <c r="K243" s="8"/>
    </row>
    <row r="244" spans="3:11" x14ac:dyDescent="0.35">
      <c r="C244" s="6"/>
      <c r="F244" s="6"/>
      <c r="H244"/>
      <c r="I244" s="8"/>
      <c r="J244" s="10"/>
      <c r="K244" s="8"/>
    </row>
    <row r="245" spans="3:11" x14ac:dyDescent="0.35">
      <c r="C245" s="6"/>
      <c r="F245" s="6"/>
      <c r="H245"/>
      <c r="I245" s="8"/>
      <c r="J245" s="10"/>
      <c r="K245" s="8"/>
    </row>
    <row r="246" spans="3:11" x14ac:dyDescent="0.35">
      <c r="C246" s="6"/>
      <c r="F246" s="6"/>
      <c r="H246"/>
      <c r="I246" s="8"/>
      <c r="J246" s="10"/>
      <c r="K246" s="8"/>
    </row>
    <row r="247" spans="3:11" x14ac:dyDescent="0.35">
      <c r="C247" s="6"/>
      <c r="F247" s="6"/>
      <c r="H247"/>
      <c r="I247" s="8"/>
      <c r="J247" s="10"/>
      <c r="K247" s="8"/>
    </row>
    <row r="248" spans="3:11" x14ac:dyDescent="0.35">
      <c r="C248" s="6"/>
      <c r="F248" s="6"/>
      <c r="H248"/>
      <c r="I248" s="8"/>
      <c r="J248" s="10"/>
      <c r="K248" s="8"/>
    </row>
    <row r="249" spans="3:11" x14ac:dyDescent="0.35">
      <c r="C249" s="6"/>
      <c r="F249" s="6"/>
      <c r="H249"/>
      <c r="I249" s="8"/>
      <c r="J249" s="10"/>
      <c r="K249" s="8"/>
    </row>
    <row r="250" spans="3:11" x14ac:dyDescent="0.35">
      <c r="C250" s="6"/>
      <c r="F250" s="6"/>
      <c r="H250"/>
      <c r="I250" s="8"/>
      <c r="J250" s="10"/>
      <c r="K250" s="8"/>
    </row>
    <row r="251" spans="3:11" x14ac:dyDescent="0.35">
      <c r="C251" s="6"/>
      <c r="F251" s="6"/>
      <c r="H251"/>
      <c r="I251" s="8"/>
      <c r="J251" s="10"/>
      <c r="K251" s="8"/>
    </row>
    <row r="252" spans="3:11" x14ac:dyDescent="0.35">
      <c r="C252" s="6"/>
      <c r="F252" s="6"/>
      <c r="H252"/>
      <c r="I252" s="8"/>
      <c r="J252" s="10"/>
      <c r="K252" s="8"/>
    </row>
    <row r="253" spans="3:11" x14ac:dyDescent="0.35">
      <c r="C253" s="6"/>
      <c r="F253" s="6"/>
      <c r="H253"/>
      <c r="I253" s="8"/>
      <c r="J253" s="10"/>
      <c r="K253" s="8"/>
    </row>
    <row r="254" spans="3:11" x14ac:dyDescent="0.35">
      <c r="C254" s="6"/>
      <c r="F254" s="6"/>
      <c r="H254"/>
      <c r="I254" s="8"/>
      <c r="J254" s="10"/>
      <c r="K254" s="8"/>
    </row>
    <row r="255" spans="3:11" x14ac:dyDescent="0.35">
      <c r="C255" s="6"/>
      <c r="F255" s="6"/>
      <c r="H255"/>
      <c r="I255" s="8"/>
      <c r="J255" s="10"/>
      <c r="K255" s="8"/>
    </row>
    <row r="256" spans="3:11" x14ac:dyDescent="0.35">
      <c r="C256" s="6"/>
      <c r="F256" s="6"/>
      <c r="H256"/>
      <c r="I256" s="8"/>
      <c r="J256" s="10"/>
      <c r="K256" s="8"/>
    </row>
    <row r="257" spans="3:11" x14ac:dyDescent="0.35">
      <c r="C257" s="6"/>
      <c r="F257" s="6"/>
      <c r="H257"/>
      <c r="I257" s="8"/>
      <c r="J257" s="10"/>
      <c r="K257" s="8"/>
    </row>
    <row r="258" spans="3:11" x14ac:dyDescent="0.35">
      <c r="C258" s="6"/>
      <c r="F258" s="6"/>
      <c r="H258"/>
      <c r="I258" s="8"/>
      <c r="J258" s="10"/>
      <c r="K258" s="8"/>
    </row>
    <row r="259" spans="3:11" x14ac:dyDescent="0.35">
      <c r="C259" s="6"/>
      <c r="F259" s="6"/>
      <c r="H259"/>
      <c r="I259" s="8"/>
      <c r="J259" s="10"/>
      <c r="K259" s="8"/>
    </row>
    <row r="260" spans="3:11" x14ac:dyDescent="0.35">
      <c r="C260" s="6"/>
      <c r="F260" s="6"/>
      <c r="H260"/>
      <c r="I260" s="8"/>
      <c r="J260" s="10"/>
      <c r="K260" s="8"/>
    </row>
    <row r="261" spans="3:11" x14ac:dyDescent="0.35">
      <c r="C261" s="6"/>
      <c r="F261" s="6"/>
      <c r="H261"/>
      <c r="I261" s="8"/>
      <c r="J261" s="10"/>
      <c r="K261" s="8"/>
    </row>
    <row r="262" spans="3:11" x14ac:dyDescent="0.35">
      <c r="C262" s="6"/>
      <c r="F262" s="6"/>
      <c r="H262"/>
      <c r="I262" s="8"/>
      <c r="J262" s="10"/>
      <c r="K262" s="8"/>
    </row>
    <row r="263" spans="3:11" x14ac:dyDescent="0.35">
      <c r="C263" s="6"/>
      <c r="F263" s="6"/>
      <c r="H263"/>
      <c r="I263" s="8"/>
      <c r="J263" s="10"/>
      <c r="K263" s="8"/>
    </row>
    <row r="264" spans="3:11" x14ac:dyDescent="0.35">
      <c r="C264" s="6"/>
      <c r="F264" s="6"/>
      <c r="H264"/>
      <c r="I264" s="8"/>
      <c r="J264" s="10"/>
      <c r="K264" s="8"/>
    </row>
    <row r="265" spans="3:11" x14ac:dyDescent="0.35">
      <c r="C265" s="6"/>
      <c r="F265" s="6"/>
      <c r="H265"/>
      <c r="I265" s="8"/>
      <c r="J265" s="10"/>
      <c r="K265" s="8"/>
    </row>
    <row r="266" spans="3:11" x14ac:dyDescent="0.35">
      <c r="C266" s="6"/>
      <c r="F266" s="6"/>
      <c r="H266"/>
      <c r="I266" s="8"/>
      <c r="J266" s="10"/>
      <c r="K266" s="8"/>
    </row>
    <row r="267" spans="3:11" x14ac:dyDescent="0.35">
      <c r="C267" s="6"/>
      <c r="F267" s="6"/>
      <c r="H267"/>
      <c r="I267" s="8"/>
      <c r="J267" s="10"/>
      <c r="K267" s="8"/>
    </row>
    <row r="268" spans="3:11" x14ac:dyDescent="0.35">
      <c r="C268" s="6"/>
      <c r="F268" s="6"/>
      <c r="H268"/>
      <c r="I268" s="8"/>
      <c r="J268" s="10"/>
      <c r="K268" s="8"/>
    </row>
    <row r="269" spans="3:11" x14ac:dyDescent="0.35">
      <c r="C269" s="6"/>
      <c r="F269" s="6"/>
      <c r="H269"/>
      <c r="I269" s="8"/>
      <c r="J269" s="10"/>
      <c r="K269" s="8"/>
    </row>
    <row r="270" spans="3:11" x14ac:dyDescent="0.35">
      <c r="C270" s="6"/>
      <c r="F270" s="6"/>
      <c r="H270"/>
      <c r="I270" s="8"/>
      <c r="J270" s="10"/>
      <c r="K270" s="8"/>
    </row>
    <row r="271" spans="3:11" x14ac:dyDescent="0.35">
      <c r="C271" s="6"/>
      <c r="F271" s="6"/>
      <c r="H271"/>
      <c r="I271" s="8"/>
      <c r="J271" s="10"/>
      <c r="K271" s="8"/>
    </row>
    <row r="272" spans="3:11" x14ac:dyDescent="0.35">
      <c r="C272" s="6"/>
      <c r="F272" s="6"/>
      <c r="H272"/>
      <c r="I272" s="8"/>
      <c r="J272" s="10"/>
      <c r="K272" s="8"/>
    </row>
    <row r="273" spans="3:11" x14ac:dyDescent="0.35">
      <c r="C273" s="6"/>
      <c r="F273" s="6"/>
      <c r="H273"/>
      <c r="I273" s="8"/>
      <c r="J273" s="10"/>
      <c r="K273" s="8"/>
    </row>
    <row r="274" spans="3:11" x14ac:dyDescent="0.35">
      <c r="C274" s="6"/>
      <c r="F274" s="6"/>
      <c r="H274"/>
      <c r="I274" s="8"/>
      <c r="J274" s="10"/>
      <c r="K274" s="8"/>
    </row>
    <row r="275" spans="3:11" x14ac:dyDescent="0.35">
      <c r="C275" s="6"/>
      <c r="F275" s="6"/>
      <c r="H275"/>
      <c r="I275" s="8"/>
      <c r="J275" s="10"/>
      <c r="K275" s="8"/>
    </row>
    <row r="276" spans="3:11" x14ac:dyDescent="0.35">
      <c r="C276" s="6"/>
      <c r="D276" s="6"/>
      <c r="E276" s="6"/>
      <c r="F276" s="6"/>
      <c r="H276"/>
      <c r="I276" s="8"/>
      <c r="J276" s="10"/>
      <c r="K276" s="8"/>
    </row>
    <row r="277" spans="3:11" x14ac:dyDescent="0.35">
      <c r="C277" s="6"/>
      <c r="D277" s="6"/>
      <c r="E277" s="6"/>
      <c r="F277" s="6"/>
      <c r="H277"/>
      <c r="I277" s="8"/>
      <c r="J277" s="10"/>
      <c r="K277" s="8"/>
    </row>
    <row r="278" spans="3:11" x14ac:dyDescent="0.35">
      <c r="C278" s="6"/>
      <c r="D278" s="6"/>
      <c r="E278" s="6"/>
      <c r="F278" s="6"/>
      <c r="H278"/>
      <c r="I278" s="8"/>
      <c r="J278" s="10"/>
      <c r="K278" s="8"/>
    </row>
    <row r="279" spans="3:11" x14ac:dyDescent="0.35">
      <c r="C279" s="6"/>
      <c r="D279" s="6"/>
      <c r="E279" s="6"/>
      <c r="F279" s="6"/>
      <c r="H279"/>
      <c r="I279" s="8"/>
      <c r="J279" s="10"/>
      <c r="K279" s="8"/>
    </row>
    <row r="280" spans="3:11" x14ac:dyDescent="0.35">
      <c r="C280" s="6"/>
      <c r="D280" s="6"/>
      <c r="E280" s="6"/>
      <c r="F280" s="6"/>
      <c r="H280"/>
      <c r="I280" s="8"/>
      <c r="J280" s="10"/>
      <c r="K280" s="8"/>
    </row>
    <row r="281" spans="3:11" x14ac:dyDescent="0.35">
      <c r="C281" s="6"/>
      <c r="D281" s="6"/>
      <c r="E281" s="6"/>
      <c r="F281" s="6"/>
      <c r="H281"/>
      <c r="I281" s="8"/>
      <c r="J281" s="10"/>
      <c r="K281" s="8"/>
    </row>
    <row r="282" spans="3:11" x14ac:dyDescent="0.35">
      <c r="C282" s="6"/>
      <c r="D282" s="6"/>
      <c r="E282" s="6"/>
      <c r="F282" s="6"/>
      <c r="H282"/>
      <c r="I282" s="8"/>
      <c r="J282" s="10"/>
      <c r="K282" s="8"/>
    </row>
    <row r="283" spans="3:11" x14ac:dyDescent="0.35">
      <c r="C283" s="6"/>
      <c r="D283" s="6"/>
      <c r="E283" s="6"/>
      <c r="F283" s="6"/>
      <c r="H283"/>
      <c r="I283" s="8"/>
      <c r="J283" s="10"/>
      <c r="K283" s="8"/>
    </row>
    <row r="284" spans="3:11" x14ac:dyDescent="0.35">
      <c r="C284" s="6"/>
      <c r="D284" s="6"/>
      <c r="E284" s="6"/>
      <c r="F284" s="6"/>
      <c r="H284"/>
      <c r="I284" s="8"/>
      <c r="J284" s="10"/>
      <c r="K284" s="8"/>
    </row>
    <row r="285" spans="3:11" x14ac:dyDescent="0.35">
      <c r="C285" s="6"/>
      <c r="D285" s="6"/>
      <c r="E285" s="6"/>
      <c r="F285" s="6"/>
      <c r="H285"/>
      <c r="I285" s="8"/>
      <c r="J285" s="10"/>
      <c r="K285" s="8"/>
    </row>
    <row r="286" spans="3:11" x14ac:dyDescent="0.35">
      <c r="C286" s="6"/>
      <c r="D286" s="6"/>
      <c r="E286" s="6"/>
      <c r="F286" s="6"/>
      <c r="H286"/>
      <c r="I286" s="8"/>
      <c r="J286" s="10"/>
      <c r="K286" s="8"/>
    </row>
    <row r="287" spans="3:11" x14ac:dyDescent="0.35">
      <c r="C287" s="6"/>
      <c r="D287" s="6"/>
      <c r="E287" s="6"/>
      <c r="F287" s="6"/>
      <c r="H287"/>
      <c r="I287" s="8"/>
      <c r="J287" s="10"/>
      <c r="K287" s="8"/>
    </row>
    <row r="288" spans="3:11" x14ac:dyDescent="0.35">
      <c r="C288" s="6"/>
      <c r="D288" s="6"/>
      <c r="E288" s="6"/>
      <c r="F288" s="6"/>
      <c r="H288"/>
      <c r="I288" s="8"/>
      <c r="J288" s="10"/>
      <c r="K288" s="8"/>
    </row>
    <row r="289" spans="3:11" x14ac:dyDescent="0.35">
      <c r="C289" s="6"/>
      <c r="D289" s="6"/>
      <c r="E289" s="6"/>
      <c r="F289" s="6"/>
      <c r="H289"/>
      <c r="I289" s="8"/>
      <c r="J289" s="10"/>
      <c r="K289" s="8"/>
    </row>
    <row r="290" spans="3:11" x14ac:dyDescent="0.35">
      <c r="C290" s="6"/>
      <c r="D290" s="6"/>
      <c r="E290" s="6"/>
      <c r="F290" s="6"/>
      <c r="H290"/>
      <c r="I290" s="8"/>
      <c r="J290" s="10"/>
      <c r="K290" s="8"/>
    </row>
    <row r="291" spans="3:11" x14ac:dyDescent="0.35">
      <c r="C291" s="6"/>
      <c r="D291" s="6"/>
      <c r="E291" s="6"/>
      <c r="F291" s="6"/>
      <c r="H291"/>
      <c r="I291" s="8"/>
      <c r="J291" s="10"/>
      <c r="K291" s="8"/>
    </row>
    <row r="292" spans="3:11" x14ac:dyDescent="0.35">
      <c r="C292" s="6"/>
      <c r="D292" s="6"/>
      <c r="E292" s="6"/>
      <c r="F292" s="6"/>
      <c r="H292"/>
      <c r="I292" s="8"/>
      <c r="J292" s="10"/>
      <c r="K292" s="8"/>
    </row>
    <row r="293" spans="3:11" x14ac:dyDescent="0.35">
      <c r="C293" s="6"/>
      <c r="D293" s="6"/>
      <c r="E293" s="6"/>
      <c r="F293" s="6"/>
      <c r="H293"/>
      <c r="I293" s="8"/>
      <c r="J293" s="10"/>
      <c r="K293" s="8"/>
    </row>
    <row r="294" spans="3:11" x14ac:dyDescent="0.35">
      <c r="C294" s="6"/>
      <c r="D294" s="6"/>
      <c r="E294" s="6"/>
      <c r="F294" s="6"/>
      <c r="H294"/>
      <c r="I294" s="8"/>
      <c r="J294" s="10"/>
      <c r="K294" s="8"/>
    </row>
    <row r="295" spans="3:11" x14ac:dyDescent="0.35">
      <c r="C295" s="6"/>
      <c r="D295" s="6"/>
      <c r="E295" s="6"/>
      <c r="F295" s="6"/>
      <c r="H295"/>
      <c r="I295" s="8"/>
      <c r="J295" s="10"/>
      <c r="K295" s="8"/>
    </row>
    <row r="296" spans="3:11" x14ac:dyDescent="0.35">
      <c r="C296" s="6"/>
      <c r="D296" s="6"/>
      <c r="E296" s="6"/>
      <c r="F296" s="6"/>
      <c r="H296"/>
      <c r="I296" s="8"/>
      <c r="J296" s="10"/>
      <c r="K296" s="8"/>
    </row>
    <row r="297" spans="3:11" x14ac:dyDescent="0.35">
      <c r="C297" s="6"/>
      <c r="D297" s="6"/>
      <c r="E297" s="6"/>
      <c r="F297" s="6"/>
      <c r="H297"/>
      <c r="I297" s="8"/>
      <c r="J297" s="10"/>
      <c r="K297" s="8"/>
    </row>
    <row r="298" spans="3:11" x14ac:dyDescent="0.35">
      <c r="C298" s="6"/>
      <c r="D298" s="6"/>
      <c r="E298" s="6"/>
      <c r="F298" s="6"/>
      <c r="H298"/>
      <c r="I298" s="8"/>
      <c r="J298" s="10"/>
      <c r="K298" s="8"/>
    </row>
    <row r="299" spans="3:11" x14ac:dyDescent="0.35">
      <c r="C299" s="6"/>
      <c r="D299" s="6"/>
      <c r="E299" s="6"/>
      <c r="F299" s="6"/>
      <c r="H299"/>
      <c r="I299" s="8"/>
      <c r="J299" s="10"/>
      <c r="K299" s="8"/>
    </row>
    <row r="300" spans="3:11" x14ac:dyDescent="0.35">
      <c r="C300" s="6"/>
      <c r="D300" s="6"/>
      <c r="E300" s="6"/>
      <c r="F300" s="6"/>
      <c r="H300"/>
      <c r="I300" s="8"/>
      <c r="J300" s="10"/>
      <c r="K300" s="8"/>
    </row>
    <row r="301" spans="3:11" x14ac:dyDescent="0.35">
      <c r="C301" s="6"/>
      <c r="D301" s="6"/>
      <c r="E301" s="6"/>
      <c r="F301" s="6"/>
      <c r="H301"/>
      <c r="I301" s="8"/>
      <c r="J301" s="10"/>
      <c r="K301" s="8"/>
    </row>
    <row r="302" spans="3:11" x14ac:dyDescent="0.35">
      <c r="C302" s="6"/>
      <c r="D302" s="6"/>
      <c r="E302" s="6"/>
      <c r="F302" s="6"/>
      <c r="H302"/>
      <c r="I302" s="8"/>
      <c r="J302" s="10"/>
      <c r="K302" s="8"/>
    </row>
    <row r="303" spans="3:11" x14ac:dyDescent="0.35">
      <c r="C303" s="6"/>
      <c r="D303" s="6"/>
      <c r="E303" s="6"/>
      <c r="F303" s="6"/>
      <c r="H303"/>
      <c r="I303" s="8"/>
      <c r="J303" s="10"/>
      <c r="K303" s="8"/>
    </row>
    <row r="304" spans="3:11" x14ac:dyDescent="0.35">
      <c r="C304" s="6"/>
      <c r="D304" s="6"/>
      <c r="E304" s="6"/>
      <c r="F304" s="6"/>
      <c r="H304"/>
      <c r="I304" s="8"/>
      <c r="J304" s="10"/>
      <c r="K304" s="8"/>
    </row>
    <row r="305" spans="3:11" x14ac:dyDescent="0.35">
      <c r="C305" s="6"/>
      <c r="D305" s="6"/>
      <c r="E305" s="6"/>
      <c r="F305" s="6"/>
      <c r="H305"/>
      <c r="I305" s="8"/>
      <c r="J305" s="10"/>
      <c r="K305" s="8"/>
    </row>
    <row r="306" spans="3:11" x14ac:dyDescent="0.35">
      <c r="C306" s="6"/>
      <c r="D306" s="6"/>
      <c r="E306" s="6"/>
      <c r="F306" s="6"/>
      <c r="H306"/>
      <c r="I306" s="8"/>
      <c r="J306" s="10"/>
      <c r="K306" s="8"/>
    </row>
    <row r="307" spans="3:11" x14ac:dyDescent="0.35">
      <c r="C307" s="6"/>
      <c r="D307" s="6"/>
      <c r="E307" s="6"/>
      <c r="F307" s="6"/>
      <c r="H307"/>
      <c r="I307" s="8"/>
      <c r="J307" s="10"/>
      <c r="K307" s="8"/>
    </row>
    <row r="308" spans="3:11" x14ac:dyDescent="0.35">
      <c r="C308" s="6"/>
      <c r="D308" s="6"/>
      <c r="E308" s="6"/>
      <c r="F308" s="6"/>
      <c r="H308"/>
      <c r="I308" s="8"/>
      <c r="J308" s="10"/>
      <c r="K308" s="8"/>
    </row>
    <row r="309" spans="3:11" x14ac:dyDescent="0.35">
      <c r="C309" s="6"/>
      <c r="D309" s="6"/>
      <c r="E309" s="6"/>
      <c r="F309" s="6"/>
      <c r="H309"/>
      <c r="I309" s="8"/>
      <c r="J309" s="10"/>
      <c r="K309" s="8"/>
    </row>
    <row r="310" spans="3:11" x14ac:dyDescent="0.35">
      <c r="C310" s="6"/>
      <c r="D310" s="6"/>
      <c r="E310" s="6"/>
      <c r="F310" s="6"/>
      <c r="H310"/>
      <c r="I310" s="8"/>
      <c r="J310" s="10"/>
      <c r="K310" s="8"/>
    </row>
    <row r="311" spans="3:11" x14ac:dyDescent="0.35">
      <c r="C311" s="6"/>
      <c r="D311" s="6"/>
      <c r="E311" s="6"/>
      <c r="F311" s="6"/>
      <c r="H311"/>
      <c r="I311" s="8"/>
      <c r="J311" s="10"/>
      <c r="K311" s="8"/>
    </row>
    <row r="312" spans="3:11" x14ac:dyDescent="0.35">
      <c r="C312" s="6"/>
      <c r="D312" s="6"/>
      <c r="E312" s="6"/>
      <c r="F312" s="6"/>
      <c r="H312"/>
      <c r="I312" s="8"/>
      <c r="J312" s="10"/>
      <c r="K312" s="8"/>
    </row>
    <row r="313" spans="3:11" x14ac:dyDescent="0.35">
      <c r="C313" s="6"/>
      <c r="D313" s="6"/>
      <c r="E313" s="6"/>
      <c r="F313" s="6"/>
      <c r="H313"/>
      <c r="I313" s="8"/>
      <c r="J313" s="10"/>
      <c r="K313" s="8"/>
    </row>
    <row r="314" spans="3:11" x14ac:dyDescent="0.35">
      <c r="C314" s="6"/>
      <c r="D314" s="6"/>
      <c r="E314" s="6"/>
      <c r="F314" s="6"/>
      <c r="H314"/>
      <c r="I314" s="8"/>
      <c r="J314" s="10"/>
      <c r="K314" s="8"/>
    </row>
    <row r="315" spans="3:11" x14ac:dyDescent="0.35">
      <c r="C315" s="6"/>
      <c r="D315" s="6"/>
      <c r="E315" s="6"/>
      <c r="F315" s="6"/>
      <c r="H315"/>
      <c r="I315" s="8"/>
      <c r="J315" s="10"/>
      <c r="K315" s="8"/>
    </row>
    <row r="316" spans="3:11" x14ac:dyDescent="0.35">
      <c r="C316" s="6"/>
      <c r="D316" s="6"/>
      <c r="E316" s="6"/>
      <c r="F316" s="6"/>
      <c r="H316"/>
      <c r="I316" s="8"/>
      <c r="J316" s="10"/>
      <c r="K316" s="8"/>
    </row>
    <row r="317" spans="3:11" x14ac:dyDescent="0.35">
      <c r="C317" s="6"/>
      <c r="D317" s="6"/>
      <c r="E317" s="6"/>
      <c r="F317" s="6"/>
      <c r="H317"/>
      <c r="I317" s="8"/>
      <c r="J317" s="10"/>
      <c r="K317" s="8"/>
    </row>
    <row r="318" spans="3:11" x14ac:dyDescent="0.35">
      <c r="C318" s="6"/>
      <c r="D318" s="6"/>
      <c r="E318" s="6"/>
      <c r="F318" s="6"/>
      <c r="H318"/>
      <c r="I318" s="8"/>
      <c r="J318" s="10"/>
      <c r="K318" s="8"/>
    </row>
    <row r="319" spans="3:11" x14ac:dyDescent="0.35">
      <c r="C319" s="6"/>
      <c r="D319" s="6"/>
      <c r="E319" s="6"/>
      <c r="F319" s="6"/>
      <c r="H319"/>
      <c r="I319" s="8"/>
      <c r="J319" s="10"/>
      <c r="K319" s="8"/>
    </row>
    <row r="320" spans="3:11" x14ac:dyDescent="0.35">
      <c r="C320" s="6"/>
      <c r="D320" s="6"/>
      <c r="E320" s="6"/>
      <c r="F320" s="6"/>
      <c r="H320"/>
      <c r="I320" s="8"/>
      <c r="J320" s="10"/>
      <c r="K320" s="8"/>
    </row>
    <row r="321" spans="3:11" x14ac:dyDescent="0.35">
      <c r="C321" s="6"/>
      <c r="D321" s="6"/>
      <c r="E321" s="6"/>
      <c r="F321" s="6"/>
      <c r="H321"/>
      <c r="I321" s="8"/>
      <c r="J321" s="10"/>
      <c r="K321" s="8"/>
    </row>
    <row r="322" spans="3:11" x14ac:dyDescent="0.35">
      <c r="C322" s="6"/>
      <c r="D322" s="6"/>
      <c r="E322" s="6"/>
      <c r="F322" s="6"/>
      <c r="H322"/>
      <c r="I322" s="8"/>
      <c r="J322" s="10"/>
      <c r="K322" s="8"/>
    </row>
    <row r="323" spans="3:11" x14ac:dyDescent="0.35">
      <c r="C323" s="6"/>
      <c r="D323" s="6"/>
      <c r="E323" s="6"/>
      <c r="F323" s="6"/>
      <c r="H323"/>
      <c r="I323" s="8"/>
      <c r="J323" s="10"/>
      <c r="K323" s="8"/>
    </row>
    <row r="324" spans="3:11" x14ac:dyDescent="0.35">
      <c r="C324" s="6"/>
      <c r="D324" s="6"/>
      <c r="E324" s="6"/>
      <c r="F324" s="6"/>
      <c r="H324"/>
      <c r="I324" s="8"/>
      <c r="J324" s="10"/>
      <c r="K324" s="8"/>
    </row>
    <row r="325" spans="3:11" x14ac:dyDescent="0.35">
      <c r="C325" s="6"/>
      <c r="D325" s="6"/>
      <c r="E325" s="6"/>
      <c r="F325" s="6"/>
      <c r="H325"/>
      <c r="I325" s="8"/>
      <c r="J325" s="10"/>
      <c r="K325" s="8"/>
    </row>
    <row r="326" spans="3:11" x14ac:dyDescent="0.35">
      <c r="C326" s="6"/>
      <c r="D326" s="6"/>
      <c r="E326" s="6"/>
      <c r="F326" s="6"/>
      <c r="G326" s="6"/>
      <c r="H326" s="6"/>
      <c r="I326" s="8"/>
      <c r="J326" s="10"/>
      <c r="K326" s="8"/>
    </row>
    <row r="327" spans="3:11" x14ac:dyDescent="0.35">
      <c r="C327" s="6"/>
      <c r="D327" s="6"/>
      <c r="E327" s="6"/>
      <c r="F327" s="6"/>
      <c r="G327" s="6"/>
      <c r="H327" s="6"/>
      <c r="I327" s="8"/>
      <c r="J327" s="10"/>
      <c r="K327" s="8"/>
    </row>
    <row r="328" spans="3:11" x14ac:dyDescent="0.35">
      <c r="C328" s="6"/>
      <c r="D328" s="6"/>
      <c r="E328" s="6"/>
      <c r="F328" s="6"/>
      <c r="G328" s="6"/>
      <c r="H328" s="6"/>
      <c r="I328" s="8"/>
      <c r="J328" s="10"/>
      <c r="K328" s="8"/>
    </row>
    <row r="329" spans="3:11" x14ac:dyDescent="0.35">
      <c r="C329" s="6"/>
      <c r="D329" s="6"/>
      <c r="E329" s="6"/>
      <c r="F329" s="6"/>
      <c r="G329" s="6"/>
      <c r="H329" s="6"/>
      <c r="I329" s="8"/>
      <c r="J329" s="10"/>
      <c r="K329" s="8"/>
    </row>
    <row r="330" spans="3:11" x14ac:dyDescent="0.35">
      <c r="C330" s="6"/>
      <c r="D330" s="6"/>
      <c r="E330" s="6"/>
      <c r="F330" s="6"/>
      <c r="G330" s="6"/>
      <c r="H330" s="6"/>
      <c r="I330" s="8"/>
      <c r="J330" s="10"/>
      <c r="K330" s="8"/>
    </row>
    <row r="331" spans="3:11" x14ac:dyDescent="0.35">
      <c r="C331" s="6"/>
      <c r="D331" s="6"/>
      <c r="E331" s="6"/>
      <c r="F331" s="6"/>
      <c r="G331" s="6"/>
      <c r="H331" s="6"/>
      <c r="I331" s="8"/>
      <c r="J331" s="10"/>
      <c r="K331" s="8"/>
    </row>
    <row r="332" spans="3:11" x14ac:dyDescent="0.35">
      <c r="C332" s="6"/>
      <c r="D332" s="6"/>
      <c r="E332" s="6"/>
      <c r="F332" s="6"/>
      <c r="G332" s="6"/>
      <c r="H332" s="6"/>
      <c r="I332" s="8"/>
      <c r="J332" s="10"/>
      <c r="K332" s="8"/>
    </row>
    <row r="333" spans="3:11" x14ac:dyDescent="0.35">
      <c r="C333" s="6"/>
      <c r="D333" s="6"/>
      <c r="E333" s="6"/>
      <c r="F333" s="6"/>
      <c r="G333" s="6"/>
      <c r="H333" s="6"/>
      <c r="I333" s="8"/>
      <c r="J333" s="10"/>
      <c r="K333" s="8"/>
    </row>
    <row r="334" spans="3:11" x14ac:dyDescent="0.35">
      <c r="C334" s="6"/>
      <c r="D334" s="6"/>
      <c r="E334" s="6"/>
      <c r="F334" s="6"/>
      <c r="G334" s="6"/>
      <c r="H334" s="6"/>
      <c r="I334" s="8"/>
      <c r="J334" s="10"/>
      <c r="K334" s="8"/>
    </row>
    <row r="335" spans="3:11" x14ac:dyDescent="0.35">
      <c r="C335" s="6"/>
      <c r="D335" s="6"/>
      <c r="E335" s="6"/>
      <c r="F335" s="6"/>
      <c r="G335" s="6"/>
      <c r="H335" s="6"/>
      <c r="I335" s="8"/>
      <c r="J335" s="10"/>
      <c r="K335" s="8"/>
    </row>
    <row r="336" spans="3:11" x14ac:dyDescent="0.35">
      <c r="C336" s="6"/>
      <c r="D336" s="6"/>
      <c r="E336" s="6"/>
      <c r="F336" s="6"/>
      <c r="G336" s="6"/>
      <c r="H336" s="6"/>
      <c r="I336" s="8"/>
      <c r="J336" s="10"/>
      <c r="K336" s="8"/>
    </row>
    <row r="337" spans="3:11" x14ac:dyDescent="0.35">
      <c r="C337" s="6"/>
      <c r="D337" s="6"/>
      <c r="E337" s="6"/>
      <c r="F337" s="6"/>
      <c r="G337" s="6"/>
      <c r="H337" s="6"/>
      <c r="I337" s="8"/>
      <c r="J337" s="10"/>
      <c r="K337" s="8"/>
    </row>
    <row r="338" spans="3:11" x14ac:dyDescent="0.35">
      <c r="C338" s="6"/>
      <c r="D338" s="6"/>
      <c r="E338" s="6"/>
      <c r="F338" s="6"/>
      <c r="G338" s="6"/>
      <c r="H338" s="6"/>
      <c r="I338" s="8"/>
      <c r="J338" s="10"/>
      <c r="K338" s="8"/>
    </row>
    <row r="339" spans="3:11" x14ac:dyDescent="0.35">
      <c r="C339" s="6"/>
      <c r="D339" s="6"/>
      <c r="E339" s="6"/>
      <c r="F339" s="6"/>
      <c r="G339" s="6"/>
      <c r="H339" s="6"/>
      <c r="I339" s="8"/>
      <c r="J339" s="10"/>
      <c r="K339" s="8"/>
    </row>
    <row r="340" spans="3:11" x14ac:dyDescent="0.35">
      <c r="C340" s="6"/>
      <c r="D340" s="6"/>
      <c r="E340" s="6"/>
      <c r="F340" s="6"/>
      <c r="G340" s="6"/>
      <c r="H340" s="6"/>
      <c r="I340" s="8"/>
      <c r="J340" s="10"/>
      <c r="K340" s="8"/>
    </row>
    <row r="341" spans="3:11" x14ac:dyDescent="0.35">
      <c r="C341" s="6"/>
      <c r="D341" s="6"/>
      <c r="E341" s="6"/>
      <c r="F341" s="6"/>
      <c r="G341" s="6"/>
      <c r="H341" s="6"/>
      <c r="I341" s="8"/>
      <c r="J341" s="10"/>
      <c r="K341" s="8"/>
    </row>
    <row r="342" spans="3:11" x14ac:dyDescent="0.35">
      <c r="C342" s="6"/>
      <c r="D342" s="6"/>
      <c r="E342" s="6"/>
      <c r="F342" s="6"/>
      <c r="G342" s="6"/>
      <c r="H342" s="6"/>
      <c r="I342" s="8"/>
      <c r="J342" s="10"/>
      <c r="K342" s="8"/>
    </row>
    <row r="343" spans="3:11" x14ac:dyDescent="0.35">
      <c r="C343" s="6"/>
      <c r="D343" s="6"/>
      <c r="E343" s="6"/>
      <c r="F343" s="6"/>
      <c r="G343" s="6"/>
      <c r="H343" s="6"/>
      <c r="I343" s="8"/>
      <c r="J343" s="10"/>
      <c r="K343" s="8"/>
    </row>
    <row r="344" spans="3:11" x14ac:dyDescent="0.35">
      <c r="C344" s="6"/>
      <c r="D344" s="6"/>
      <c r="E344" s="6"/>
      <c r="F344" s="6"/>
      <c r="G344" s="6"/>
      <c r="H344" s="6"/>
      <c r="I344" s="8"/>
      <c r="J344" s="10"/>
      <c r="K344" s="8"/>
    </row>
    <row r="345" spans="3:11" x14ac:dyDescent="0.35">
      <c r="C345" s="6"/>
      <c r="D345" s="6"/>
      <c r="E345" s="6"/>
      <c r="F345" s="6"/>
      <c r="G345" s="6"/>
      <c r="H345" s="6"/>
      <c r="I345" s="8"/>
    </row>
    <row r="346" spans="3:11" x14ac:dyDescent="0.35">
      <c r="C346" s="6"/>
      <c r="D346" s="6"/>
      <c r="E346" s="6"/>
      <c r="F346" s="6"/>
      <c r="G346" s="6"/>
      <c r="H346" s="6"/>
      <c r="I346" s="8"/>
    </row>
    <row r="347" spans="3:11" x14ac:dyDescent="0.35">
      <c r="C347" s="6"/>
      <c r="D347" s="6"/>
      <c r="E347" s="6"/>
      <c r="F347" s="6"/>
      <c r="G347" s="6"/>
      <c r="H347" s="6"/>
      <c r="I347" s="8"/>
    </row>
    <row r="348" spans="3:11" x14ac:dyDescent="0.35">
      <c r="C348" s="6"/>
      <c r="D348" s="6"/>
      <c r="E348" s="6"/>
      <c r="F348" s="6"/>
      <c r="G348" s="6"/>
      <c r="H348" s="6"/>
      <c r="I348" s="8"/>
    </row>
    <row r="349" spans="3:11" x14ac:dyDescent="0.35">
      <c r="C349" s="6"/>
      <c r="D349" s="6"/>
      <c r="E349" s="6"/>
      <c r="F349" s="6"/>
      <c r="G349" s="6"/>
      <c r="H349" s="6"/>
      <c r="I349" s="8"/>
    </row>
    <row r="350" spans="3:11" x14ac:dyDescent="0.35">
      <c r="C350" s="6"/>
      <c r="D350" s="6"/>
      <c r="E350" s="6"/>
      <c r="F350" s="6"/>
      <c r="G350" s="6"/>
      <c r="H350" s="6"/>
      <c r="I350" s="8"/>
    </row>
    <row r="351" spans="3:11" x14ac:dyDescent="0.35">
      <c r="C351" s="6"/>
      <c r="D351" s="6"/>
      <c r="E351" s="6"/>
      <c r="F351" s="6"/>
      <c r="G351" s="6"/>
      <c r="H351" s="6"/>
      <c r="I351" s="8"/>
    </row>
    <row r="352" spans="3:11" x14ac:dyDescent="0.35">
      <c r="C352" s="6"/>
      <c r="D352" s="6"/>
      <c r="E352" s="6"/>
      <c r="F352" s="6"/>
      <c r="G352" s="6"/>
      <c r="H352" s="6"/>
      <c r="I352" s="8"/>
    </row>
    <row r="353" spans="3:9" x14ac:dyDescent="0.35">
      <c r="C353" s="6"/>
      <c r="D353" s="6"/>
      <c r="E353" s="6"/>
      <c r="F353" s="6"/>
      <c r="G353" s="6"/>
      <c r="H353" s="6"/>
      <c r="I353" s="8"/>
    </row>
    <row r="354" spans="3:9" x14ac:dyDescent="0.35">
      <c r="C354" s="6"/>
      <c r="D354" s="6"/>
      <c r="E354" s="6"/>
      <c r="F354" s="6"/>
      <c r="G354" s="6"/>
      <c r="H354" s="6"/>
      <c r="I354" s="8"/>
    </row>
    <row r="355" spans="3:9" x14ac:dyDescent="0.35">
      <c r="C355" s="6"/>
      <c r="D355" s="6"/>
      <c r="E355" s="6"/>
      <c r="F355" s="6"/>
      <c r="G355" s="6"/>
      <c r="H355" s="6"/>
      <c r="I355" s="8"/>
    </row>
    <row r="356" spans="3:9" x14ac:dyDescent="0.35">
      <c r="C356" s="6"/>
      <c r="D356" s="6"/>
      <c r="E356" s="6"/>
      <c r="F356" s="6"/>
      <c r="G356" s="6"/>
      <c r="H356" s="6"/>
      <c r="I356" s="8"/>
    </row>
    <row r="357" spans="3:9" x14ac:dyDescent="0.35">
      <c r="C357" s="6"/>
      <c r="D357" s="6"/>
      <c r="E357" s="6"/>
      <c r="F357" s="6"/>
      <c r="G357" s="6"/>
      <c r="H357" s="6"/>
      <c r="I357" s="8"/>
    </row>
    <row r="358" spans="3:9" x14ac:dyDescent="0.35">
      <c r="C358" s="6"/>
      <c r="D358" s="6"/>
      <c r="E358" s="6"/>
      <c r="F358" s="6"/>
      <c r="G358" s="6"/>
      <c r="H358" s="6"/>
      <c r="I358" s="8"/>
    </row>
    <row r="359" spans="3:9" x14ac:dyDescent="0.35">
      <c r="C359" s="6"/>
      <c r="D359" s="6"/>
      <c r="E359" s="6"/>
      <c r="F359" s="6"/>
      <c r="G359" s="6"/>
      <c r="H359" s="6"/>
      <c r="I359" s="8"/>
    </row>
    <row r="360" spans="3:9" x14ac:dyDescent="0.35">
      <c r="C360" s="6"/>
      <c r="D360" s="6"/>
      <c r="E360" s="6"/>
      <c r="F360" s="6"/>
      <c r="G360" s="6"/>
      <c r="H360" s="6"/>
      <c r="I360" s="8"/>
    </row>
    <row r="361" spans="3:9" x14ac:dyDescent="0.35">
      <c r="C361" s="6"/>
      <c r="D361" s="6"/>
      <c r="E361" s="6"/>
      <c r="F361" s="6"/>
      <c r="G361" s="6"/>
      <c r="H361" s="6"/>
      <c r="I361" s="8"/>
    </row>
    <row r="362" spans="3:9" x14ac:dyDescent="0.35">
      <c r="C362" s="6"/>
      <c r="D362" s="6"/>
      <c r="E362" s="6"/>
      <c r="F362" s="6"/>
      <c r="G362" s="6"/>
      <c r="H362" s="6"/>
      <c r="I362" s="8"/>
    </row>
    <row r="363" spans="3:9" x14ac:dyDescent="0.35">
      <c r="C363" s="6"/>
      <c r="D363" s="6"/>
      <c r="E363" s="6"/>
      <c r="F363" s="6"/>
      <c r="G363" s="6"/>
      <c r="H363" s="6"/>
      <c r="I363" s="8"/>
    </row>
    <row r="364" spans="3:9" x14ac:dyDescent="0.35">
      <c r="C364" s="6"/>
      <c r="D364" s="6"/>
      <c r="E364" s="6"/>
      <c r="F364" s="6"/>
      <c r="G364" s="6"/>
      <c r="H364" s="6"/>
      <c r="I364" s="8"/>
    </row>
    <row r="365" spans="3:9" x14ac:dyDescent="0.35">
      <c r="C365" s="6"/>
      <c r="D365" s="6"/>
      <c r="E365" s="6"/>
      <c r="F365" s="6"/>
      <c r="G365" s="6"/>
      <c r="H365" s="6"/>
      <c r="I365" s="8"/>
    </row>
    <row r="366" spans="3:9" x14ac:dyDescent="0.35">
      <c r="C366" s="6"/>
      <c r="D366" s="6"/>
      <c r="E366" s="6"/>
      <c r="F366" s="6"/>
      <c r="G366" s="6"/>
      <c r="H366" s="6"/>
      <c r="I366" s="8"/>
    </row>
    <row r="367" spans="3:9" x14ac:dyDescent="0.35">
      <c r="C367" s="6"/>
      <c r="D367" s="6"/>
      <c r="E367" s="6"/>
      <c r="F367" s="6"/>
      <c r="G367" s="6"/>
      <c r="H367" s="6"/>
      <c r="I367" s="8"/>
    </row>
    <row r="368" spans="3:9" x14ac:dyDescent="0.35">
      <c r="C368" s="6"/>
      <c r="D368" s="6"/>
      <c r="E368" s="6"/>
      <c r="F368" s="6"/>
      <c r="G368" s="6"/>
      <c r="H368" s="6"/>
      <c r="I368" s="8"/>
    </row>
    <row r="369" spans="3:9" x14ac:dyDescent="0.35">
      <c r="C369" s="6"/>
      <c r="D369" s="6"/>
      <c r="E369" s="6"/>
      <c r="F369" s="6"/>
      <c r="G369" s="6"/>
      <c r="H369" s="6"/>
      <c r="I369" s="8"/>
    </row>
    <row r="370" spans="3:9" x14ac:dyDescent="0.35">
      <c r="C370" s="6"/>
      <c r="D370" s="6"/>
      <c r="E370" s="6"/>
      <c r="F370" s="6"/>
      <c r="G370" s="6"/>
      <c r="H370" s="6"/>
      <c r="I370" s="8"/>
    </row>
    <row r="371" spans="3:9" x14ac:dyDescent="0.35">
      <c r="C371" s="6"/>
      <c r="D371" s="6"/>
      <c r="E371" s="6"/>
      <c r="F371" s="6"/>
      <c r="G371" s="6"/>
      <c r="H371" s="6"/>
      <c r="I371" s="8"/>
    </row>
    <row r="372" spans="3:9" x14ac:dyDescent="0.35">
      <c r="C372" s="6"/>
      <c r="D372" s="6"/>
      <c r="E372" s="6"/>
      <c r="F372" s="6"/>
      <c r="G372" s="6"/>
      <c r="H372" s="6"/>
      <c r="I372" s="8"/>
    </row>
    <row r="373" spans="3:9" x14ac:dyDescent="0.35">
      <c r="C373" s="6"/>
      <c r="D373" s="6"/>
      <c r="E373" s="6"/>
      <c r="F373" s="6"/>
      <c r="G373" s="6"/>
      <c r="H373" s="6"/>
      <c r="I373" s="8"/>
    </row>
    <row r="374" spans="3:9" x14ac:dyDescent="0.35">
      <c r="C374" s="6"/>
      <c r="D374" s="6"/>
      <c r="E374" s="6"/>
      <c r="F374" s="6"/>
      <c r="G374" s="6"/>
      <c r="H374" s="6"/>
      <c r="I374" s="8"/>
    </row>
    <row r="375" spans="3:9" x14ac:dyDescent="0.35">
      <c r="C375" s="6"/>
      <c r="D375" s="6"/>
      <c r="E375" s="6"/>
      <c r="F375" s="6"/>
      <c r="G375" s="6"/>
      <c r="H375" s="6"/>
      <c r="I375" s="8"/>
    </row>
    <row r="376" spans="3:9" x14ac:dyDescent="0.35">
      <c r="C376" s="6"/>
      <c r="D376" s="6"/>
      <c r="E376" s="6"/>
      <c r="F376" s="6"/>
      <c r="G376" s="6"/>
      <c r="H376" s="6"/>
      <c r="I376" s="8"/>
    </row>
    <row r="377" spans="3:9" x14ac:dyDescent="0.35">
      <c r="C377" s="6"/>
      <c r="D377" s="6"/>
      <c r="E377" s="6"/>
      <c r="F377" s="6"/>
      <c r="G377" s="6"/>
      <c r="H377" s="6"/>
      <c r="I377" s="8"/>
    </row>
    <row r="378" spans="3:9" x14ac:dyDescent="0.35">
      <c r="C378" s="6"/>
      <c r="D378" s="6"/>
      <c r="E378" s="6"/>
      <c r="F378" s="6"/>
      <c r="G378" s="6"/>
      <c r="H378" s="6"/>
      <c r="I378" s="8"/>
    </row>
    <row r="379" spans="3:9" x14ac:dyDescent="0.35">
      <c r="C379" s="6"/>
      <c r="D379" s="6"/>
      <c r="E379" s="6"/>
      <c r="F379" s="6"/>
      <c r="G379" s="6"/>
      <c r="H379" s="6"/>
      <c r="I379" s="8"/>
    </row>
    <row r="380" spans="3:9" x14ac:dyDescent="0.35">
      <c r="C380" s="6"/>
      <c r="D380" s="6"/>
      <c r="E380" s="6"/>
      <c r="F380" s="6"/>
      <c r="G380" s="6"/>
      <c r="H380" s="6"/>
      <c r="I380" s="8"/>
    </row>
    <row r="381" spans="3:9" x14ac:dyDescent="0.35">
      <c r="C381" s="6"/>
      <c r="D381" s="6"/>
      <c r="E381" s="6"/>
      <c r="F381" s="6"/>
      <c r="G381" s="6"/>
      <c r="H381" s="6"/>
      <c r="I381" s="8"/>
    </row>
    <row r="382" spans="3:9" x14ac:dyDescent="0.35">
      <c r="C382" s="6"/>
      <c r="D382" s="6"/>
      <c r="E382" s="6"/>
      <c r="F382" s="6"/>
      <c r="G382" s="6"/>
      <c r="H382" s="6"/>
      <c r="I382" s="8"/>
    </row>
    <row r="383" spans="3:9" x14ac:dyDescent="0.35">
      <c r="C383" s="6"/>
      <c r="D383" s="6"/>
      <c r="E383" s="6"/>
      <c r="F383" s="6"/>
      <c r="G383" s="6"/>
      <c r="H383" s="6"/>
      <c r="I383" s="8"/>
    </row>
    <row r="384" spans="3:9" x14ac:dyDescent="0.35">
      <c r="C384" s="6"/>
      <c r="D384" s="6"/>
      <c r="E384" s="6"/>
      <c r="F384" s="6"/>
      <c r="G384" s="6"/>
      <c r="H384" s="6"/>
      <c r="I384" s="8"/>
    </row>
    <row r="385" spans="3:9" x14ac:dyDescent="0.35">
      <c r="C385" s="6"/>
      <c r="D385" s="6"/>
      <c r="E385" s="6"/>
      <c r="F385" s="6"/>
      <c r="G385" s="6"/>
      <c r="H385" s="6"/>
      <c r="I385" s="8"/>
    </row>
    <row r="386" spans="3:9" x14ac:dyDescent="0.35">
      <c r="C386" s="6"/>
      <c r="D386" s="6"/>
      <c r="E386" s="6"/>
      <c r="F386" s="6"/>
      <c r="G386" s="6"/>
      <c r="H386" s="6"/>
      <c r="I386" s="8"/>
    </row>
    <row r="387" spans="3:9" x14ac:dyDescent="0.35">
      <c r="C387" s="6"/>
      <c r="D387" s="6"/>
      <c r="E387" s="6"/>
      <c r="F387" s="6"/>
      <c r="G387" s="6"/>
      <c r="H387" s="6"/>
      <c r="I387" s="8"/>
    </row>
    <row r="388" spans="3:9" x14ac:dyDescent="0.35">
      <c r="C388" s="6"/>
      <c r="D388" s="6"/>
      <c r="E388" s="6"/>
      <c r="F388" s="6"/>
      <c r="G388" s="6"/>
      <c r="H388" s="6"/>
      <c r="I388" s="8"/>
    </row>
    <row r="389" spans="3:9" x14ac:dyDescent="0.35">
      <c r="C389" s="6"/>
      <c r="D389" s="6"/>
      <c r="E389" s="6"/>
      <c r="F389" s="6"/>
      <c r="G389" s="6"/>
      <c r="H389" s="6"/>
      <c r="I389" s="8"/>
    </row>
    <row r="390" spans="3:9" x14ac:dyDescent="0.35">
      <c r="C390" s="6"/>
      <c r="D390" s="6"/>
      <c r="E390" s="6"/>
      <c r="F390" s="6"/>
      <c r="G390" s="6"/>
      <c r="H390" s="6"/>
      <c r="I390" s="8"/>
    </row>
    <row r="391" spans="3:9" x14ac:dyDescent="0.35">
      <c r="C391" s="6"/>
      <c r="D391" s="6"/>
      <c r="E391" s="6"/>
      <c r="F391" s="6"/>
      <c r="G391" s="6"/>
      <c r="H391" s="6"/>
      <c r="I391" s="8"/>
    </row>
    <row r="392" spans="3:9" x14ac:dyDescent="0.35">
      <c r="C392" s="6"/>
      <c r="D392" s="6"/>
      <c r="E392" s="6"/>
      <c r="F392" s="6"/>
      <c r="G392" s="6"/>
      <c r="H392" s="6"/>
      <c r="I392" s="8"/>
    </row>
    <row r="393" spans="3:9" x14ac:dyDescent="0.35">
      <c r="C393" s="6"/>
      <c r="D393" s="6"/>
      <c r="E393" s="6"/>
      <c r="F393" s="6"/>
      <c r="G393" s="6"/>
      <c r="H393" s="6"/>
      <c r="I393" s="8"/>
    </row>
    <row r="394" spans="3:9" x14ac:dyDescent="0.35">
      <c r="C394" s="6"/>
      <c r="D394" s="6"/>
      <c r="E394" s="6"/>
      <c r="F394" s="6"/>
      <c r="G394" s="6"/>
      <c r="H394" s="6"/>
      <c r="I394" s="8"/>
    </row>
    <row r="395" spans="3:9" x14ac:dyDescent="0.35">
      <c r="C395" s="6"/>
      <c r="D395" s="6"/>
      <c r="E395" s="6"/>
      <c r="F395" s="6"/>
      <c r="G395" s="6"/>
      <c r="H395" s="6"/>
      <c r="I395" s="8"/>
    </row>
    <row r="396" spans="3:9" x14ac:dyDescent="0.35">
      <c r="C396" s="6"/>
      <c r="D396" s="6"/>
      <c r="E396" s="6"/>
      <c r="F396" s="6"/>
      <c r="G396" s="6"/>
      <c r="H396" s="6"/>
      <c r="I396" s="8"/>
    </row>
    <row r="397" spans="3:9" x14ac:dyDescent="0.35">
      <c r="C397" s="6"/>
      <c r="D397" s="6"/>
      <c r="E397" s="6"/>
      <c r="F397" s="6"/>
      <c r="G397" s="6"/>
      <c r="H397" s="6"/>
      <c r="I397" s="8"/>
    </row>
    <row r="398" spans="3:9" x14ac:dyDescent="0.35">
      <c r="C398" s="6"/>
      <c r="D398" s="6"/>
      <c r="E398" s="6"/>
      <c r="F398" s="6"/>
      <c r="G398" s="6"/>
      <c r="H398" s="6"/>
      <c r="I398" s="8"/>
    </row>
    <row r="399" spans="3:9" x14ac:dyDescent="0.35">
      <c r="C399" s="6"/>
      <c r="D399" s="6"/>
      <c r="E399" s="6"/>
      <c r="F399" s="6"/>
      <c r="G399" s="6"/>
      <c r="H399" s="6"/>
      <c r="I399" s="8"/>
    </row>
    <row r="400" spans="3:9" x14ac:dyDescent="0.35">
      <c r="C400" s="6"/>
      <c r="D400" s="6"/>
      <c r="E400" s="6"/>
      <c r="F400" s="6"/>
      <c r="G400" s="6"/>
      <c r="H400" s="6"/>
      <c r="I400" s="8"/>
    </row>
    <row r="401" spans="3:9" x14ac:dyDescent="0.35">
      <c r="C401" s="6"/>
      <c r="D401" s="6"/>
      <c r="E401" s="6"/>
      <c r="F401" s="6"/>
      <c r="G401" s="6"/>
      <c r="H401" s="6"/>
      <c r="I401" s="8"/>
    </row>
    <row r="402" spans="3:9" x14ac:dyDescent="0.35">
      <c r="C402" s="6"/>
      <c r="D402" s="6"/>
      <c r="E402" s="6"/>
      <c r="F402" s="6"/>
      <c r="G402" s="6"/>
      <c r="H402" s="6"/>
      <c r="I402" s="8"/>
    </row>
    <row r="403" spans="3:9" x14ac:dyDescent="0.35">
      <c r="C403" s="6"/>
      <c r="D403" s="6"/>
      <c r="E403" s="6"/>
      <c r="F403" s="6"/>
      <c r="G403" s="6"/>
      <c r="H403" s="6"/>
      <c r="I403" s="8"/>
    </row>
    <row r="404" spans="3:9" x14ac:dyDescent="0.35">
      <c r="C404" s="6"/>
      <c r="D404" s="6"/>
      <c r="E404" s="6"/>
      <c r="F404" s="6"/>
      <c r="G404" s="6"/>
      <c r="H404" s="6"/>
      <c r="I404" s="8"/>
    </row>
    <row r="405" spans="3:9" x14ac:dyDescent="0.35">
      <c r="C405" s="6"/>
      <c r="D405" s="6"/>
      <c r="E405" s="6"/>
      <c r="F405" s="6"/>
      <c r="G405" s="6"/>
      <c r="H405" s="6"/>
      <c r="I405" s="8"/>
    </row>
    <row r="406" spans="3:9" x14ac:dyDescent="0.35">
      <c r="C406" s="6"/>
      <c r="D406" s="6"/>
      <c r="E406" s="6"/>
      <c r="F406" s="6"/>
      <c r="G406" s="6"/>
      <c r="H406" s="6"/>
      <c r="I406" s="8"/>
    </row>
    <row r="407" spans="3:9" x14ac:dyDescent="0.35">
      <c r="C407" s="6"/>
      <c r="D407" s="6"/>
      <c r="E407" s="6"/>
      <c r="F407" s="6"/>
      <c r="G407" s="6"/>
      <c r="H407" s="6"/>
      <c r="I407" s="8"/>
    </row>
    <row r="408" spans="3:9" x14ac:dyDescent="0.35">
      <c r="C408" s="6"/>
      <c r="D408" s="6"/>
      <c r="E408" s="6"/>
      <c r="F408" s="6"/>
      <c r="G408" s="6"/>
      <c r="H408" s="6"/>
      <c r="I408" s="8"/>
    </row>
    <row r="409" spans="3:9" x14ac:dyDescent="0.35">
      <c r="C409" s="6"/>
      <c r="D409" s="6"/>
      <c r="E409" s="6"/>
      <c r="F409" s="6"/>
      <c r="G409" s="6"/>
      <c r="H409" s="6"/>
      <c r="I409" s="8"/>
    </row>
    <row r="410" spans="3:9" x14ac:dyDescent="0.35">
      <c r="C410" s="6"/>
      <c r="D410" s="6"/>
      <c r="E410" s="6"/>
      <c r="F410" s="6"/>
      <c r="G410" s="6"/>
      <c r="H410" s="6"/>
      <c r="I410" s="8"/>
    </row>
    <row r="411" spans="3:9" x14ac:dyDescent="0.35">
      <c r="C411" s="6"/>
      <c r="D411" s="6"/>
      <c r="E411" s="6"/>
      <c r="F411" s="6"/>
      <c r="G411" s="6"/>
      <c r="H411" s="6"/>
      <c r="I411" s="8"/>
    </row>
    <row r="412" spans="3:9" x14ac:dyDescent="0.35">
      <c r="C412" s="6"/>
      <c r="D412" s="6"/>
      <c r="E412" s="6"/>
      <c r="F412" s="6"/>
      <c r="G412" s="6"/>
      <c r="H412" s="6"/>
      <c r="I412" s="8"/>
    </row>
    <row r="413" spans="3:9" x14ac:dyDescent="0.35">
      <c r="C413" s="6"/>
      <c r="D413" s="6"/>
      <c r="E413" s="6"/>
      <c r="F413" s="6"/>
      <c r="G413" s="6"/>
      <c r="H413" s="6"/>
      <c r="I413" s="8"/>
    </row>
    <row r="414" spans="3:9" x14ac:dyDescent="0.35">
      <c r="C414" s="6"/>
      <c r="D414" s="6"/>
      <c r="E414" s="6"/>
      <c r="F414" s="6"/>
      <c r="G414" s="6"/>
      <c r="H414" s="6"/>
      <c r="I414" s="8"/>
    </row>
    <row r="415" spans="3:9" x14ac:dyDescent="0.35">
      <c r="C415" s="6"/>
      <c r="D415" s="6"/>
      <c r="E415" s="6"/>
      <c r="F415" s="6"/>
      <c r="G415" s="6"/>
      <c r="H415" s="6"/>
      <c r="I415" s="8"/>
    </row>
    <row r="416" spans="3:9" x14ac:dyDescent="0.35">
      <c r="C416" s="6"/>
      <c r="D416" s="6"/>
      <c r="E416" s="6"/>
      <c r="F416" s="6"/>
      <c r="G416" s="6"/>
      <c r="H416" s="6"/>
      <c r="I416" s="8"/>
    </row>
    <row r="417" spans="3:9" x14ac:dyDescent="0.35">
      <c r="C417" s="6"/>
      <c r="D417" s="6"/>
      <c r="E417" s="6"/>
      <c r="F417" s="6"/>
      <c r="G417" s="6"/>
      <c r="H417" s="6"/>
      <c r="I417" s="8"/>
    </row>
    <row r="418" spans="3:9" x14ac:dyDescent="0.35">
      <c r="C418" s="6"/>
      <c r="D418" s="6"/>
      <c r="E418" s="6"/>
      <c r="F418" s="6"/>
      <c r="G418" s="6"/>
      <c r="H418" s="6"/>
      <c r="I418" s="8"/>
    </row>
    <row r="419" spans="3:9" x14ac:dyDescent="0.35">
      <c r="C419" s="6"/>
      <c r="D419" s="6"/>
      <c r="E419" s="6"/>
      <c r="F419" s="6"/>
      <c r="G419" s="6"/>
      <c r="H419" s="6"/>
      <c r="I419" s="8"/>
    </row>
    <row r="420" spans="3:9" x14ac:dyDescent="0.35">
      <c r="C420" s="6"/>
      <c r="D420" s="6"/>
      <c r="E420" s="6"/>
      <c r="F420" s="6"/>
      <c r="G420" s="6"/>
      <c r="H420" s="6"/>
      <c r="I420" s="8"/>
    </row>
    <row r="421" spans="3:9" x14ac:dyDescent="0.35">
      <c r="C421" s="6"/>
      <c r="D421" s="6"/>
      <c r="E421" s="6"/>
      <c r="F421" s="6"/>
      <c r="G421" s="6"/>
      <c r="H421" s="6"/>
      <c r="I421" s="8"/>
    </row>
    <row r="422" spans="3:9" x14ac:dyDescent="0.35">
      <c r="H422"/>
    </row>
    <row r="423" spans="3:9" x14ac:dyDescent="0.35">
      <c r="H423"/>
    </row>
    <row r="424" spans="3:9" x14ac:dyDescent="0.35">
      <c r="H424"/>
    </row>
    <row r="425" spans="3:9" x14ac:dyDescent="0.35">
      <c r="H425"/>
    </row>
    <row r="426" spans="3:9" x14ac:dyDescent="0.35">
      <c r="H426"/>
    </row>
    <row r="427" spans="3:9" x14ac:dyDescent="0.35">
      <c r="H427"/>
    </row>
    <row r="428" spans="3:9" x14ac:dyDescent="0.35">
      <c r="H428"/>
    </row>
    <row r="429" spans="3:9" x14ac:dyDescent="0.35">
      <c r="H429"/>
    </row>
    <row r="430" spans="3:9" x14ac:dyDescent="0.35">
      <c r="H430"/>
    </row>
    <row r="431" spans="3:9" x14ac:dyDescent="0.35">
      <c r="H431"/>
    </row>
    <row r="432" spans="3:9" x14ac:dyDescent="0.35">
      <c r="H432"/>
    </row>
    <row r="433" spans="8:8" x14ac:dyDescent="0.35">
      <c r="H433"/>
    </row>
    <row r="434" spans="8:8" x14ac:dyDescent="0.35">
      <c r="H434"/>
    </row>
    <row r="435" spans="8:8" x14ac:dyDescent="0.35">
      <c r="H435"/>
    </row>
    <row r="436" spans="8:8" x14ac:dyDescent="0.35">
      <c r="H436"/>
    </row>
    <row r="437" spans="8:8" x14ac:dyDescent="0.35">
      <c r="H437"/>
    </row>
    <row r="438" spans="8:8" x14ac:dyDescent="0.35">
      <c r="H438"/>
    </row>
    <row r="439" spans="8:8" x14ac:dyDescent="0.35">
      <c r="H439"/>
    </row>
    <row r="440" spans="8:8" x14ac:dyDescent="0.35">
      <c r="H440"/>
    </row>
    <row r="441" spans="8:8" x14ac:dyDescent="0.35">
      <c r="H441"/>
    </row>
    <row r="442" spans="8:8" x14ac:dyDescent="0.35">
      <c r="H442"/>
    </row>
    <row r="443" spans="8:8" x14ac:dyDescent="0.35">
      <c r="H443"/>
    </row>
    <row r="444" spans="8:8" x14ac:dyDescent="0.35">
      <c r="H444"/>
    </row>
    <row r="445" spans="8:8" x14ac:dyDescent="0.35">
      <c r="H445"/>
    </row>
    <row r="446" spans="8:8" x14ac:dyDescent="0.35">
      <c r="H446"/>
    </row>
    <row r="447" spans="8:8" x14ac:dyDescent="0.35">
      <c r="H447"/>
    </row>
    <row r="448" spans="8:8" x14ac:dyDescent="0.35">
      <c r="H448"/>
    </row>
    <row r="449" spans="8:8" x14ac:dyDescent="0.35">
      <c r="H449"/>
    </row>
    <row r="450" spans="8:8" x14ac:dyDescent="0.35">
      <c r="H450"/>
    </row>
    <row r="451" spans="8:8" x14ac:dyDescent="0.35">
      <c r="H451"/>
    </row>
    <row r="452" spans="8:8" x14ac:dyDescent="0.35">
      <c r="H452"/>
    </row>
    <row r="453" spans="8:8" x14ac:dyDescent="0.35">
      <c r="H453"/>
    </row>
    <row r="454" spans="8:8" x14ac:dyDescent="0.35">
      <c r="H454"/>
    </row>
    <row r="455" spans="8:8" x14ac:dyDescent="0.35">
      <c r="H455"/>
    </row>
    <row r="456" spans="8:8" x14ac:dyDescent="0.35">
      <c r="H456"/>
    </row>
    <row r="457" spans="8:8" x14ac:dyDescent="0.35">
      <c r="H457"/>
    </row>
    <row r="458" spans="8:8" x14ac:dyDescent="0.35">
      <c r="H458"/>
    </row>
    <row r="459" spans="8:8" x14ac:dyDescent="0.35">
      <c r="H459"/>
    </row>
    <row r="460" spans="8:8" x14ac:dyDescent="0.35">
      <c r="H460"/>
    </row>
    <row r="461" spans="8:8" x14ac:dyDescent="0.35">
      <c r="H461"/>
    </row>
    <row r="462" spans="8:8" x14ac:dyDescent="0.35">
      <c r="H462"/>
    </row>
    <row r="463" spans="8:8" x14ac:dyDescent="0.35">
      <c r="H463"/>
    </row>
    <row r="464" spans="8:8" x14ac:dyDescent="0.35">
      <c r="H464"/>
    </row>
    <row r="465" spans="8:8" x14ac:dyDescent="0.35">
      <c r="H465"/>
    </row>
    <row r="466" spans="8:8" x14ac:dyDescent="0.35">
      <c r="H466"/>
    </row>
    <row r="467" spans="8:8" x14ac:dyDescent="0.35">
      <c r="H467"/>
    </row>
    <row r="468" spans="8:8" x14ac:dyDescent="0.35">
      <c r="H468"/>
    </row>
    <row r="469" spans="8:8" x14ac:dyDescent="0.35">
      <c r="H469"/>
    </row>
    <row r="470" spans="8:8" x14ac:dyDescent="0.35">
      <c r="H470"/>
    </row>
    <row r="471" spans="8:8" x14ac:dyDescent="0.35">
      <c r="H471"/>
    </row>
    <row r="472" spans="8:8" x14ac:dyDescent="0.35">
      <c r="H472"/>
    </row>
    <row r="473" spans="8:8" x14ac:dyDescent="0.35">
      <c r="H473"/>
    </row>
    <row r="474" spans="8:8" x14ac:dyDescent="0.35">
      <c r="H474"/>
    </row>
    <row r="475" spans="8:8" x14ac:dyDescent="0.35">
      <c r="H475"/>
    </row>
    <row r="476" spans="8:8" x14ac:dyDescent="0.35">
      <c r="H476"/>
    </row>
    <row r="477" spans="8:8" x14ac:dyDescent="0.35">
      <c r="H477"/>
    </row>
    <row r="478" spans="8:8" x14ac:dyDescent="0.35">
      <c r="H478"/>
    </row>
    <row r="479" spans="8:8" x14ac:dyDescent="0.35">
      <c r="H479"/>
    </row>
    <row r="480" spans="8:8" x14ac:dyDescent="0.35">
      <c r="H480"/>
    </row>
    <row r="481" spans="8:8" x14ac:dyDescent="0.35">
      <c r="H481"/>
    </row>
    <row r="482" spans="8:8" x14ac:dyDescent="0.35">
      <c r="H482"/>
    </row>
    <row r="483" spans="8:8" x14ac:dyDescent="0.35">
      <c r="H483"/>
    </row>
    <row r="484" spans="8:8" x14ac:dyDescent="0.35">
      <c r="H484"/>
    </row>
    <row r="485" spans="8:8" x14ac:dyDescent="0.35">
      <c r="H485"/>
    </row>
    <row r="486" spans="8:8" x14ac:dyDescent="0.35">
      <c r="H486"/>
    </row>
    <row r="487" spans="8:8" x14ac:dyDescent="0.35">
      <c r="H487"/>
    </row>
    <row r="488" spans="8:8" x14ac:dyDescent="0.35">
      <c r="H488"/>
    </row>
    <row r="489" spans="8:8" x14ac:dyDescent="0.35">
      <c r="H489"/>
    </row>
    <row r="490" spans="8:8" x14ac:dyDescent="0.35">
      <c r="H490"/>
    </row>
    <row r="491" spans="8:8" x14ac:dyDescent="0.35">
      <c r="H491"/>
    </row>
    <row r="492" spans="8:8" x14ac:dyDescent="0.35">
      <c r="H492"/>
    </row>
    <row r="493" spans="8:8" x14ac:dyDescent="0.35">
      <c r="H493"/>
    </row>
    <row r="494" spans="8:8" x14ac:dyDescent="0.35">
      <c r="H494"/>
    </row>
    <row r="495" spans="8:8" x14ac:dyDescent="0.35">
      <c r="H495"/>
    </row>
    <row r="496" spans="8:8" x14ac:dyDescent="0.35">
      <c r="H496"/>
    </row>
    <row r="497" spans="8:8" x14ac:dyDescent="0.35">
      <c r="H497"/>
    </row>
    <row r="498" spans="8:8" x14ac:dyDescent="0.35">
      <c r="H498"/>
    </row>
    <row r="499" spans="8:8" x14ac:dyDescent="0.35">
      <c r="H499"/>
    </row>
    <row r="500" spans="8:8" x14ac:dyDescent="0.35">
      <c r="H500"/>
    </row>
    <row r="501" spans="8:8" x14ac:dyDescent="0.35">
      <c r="H501"/>
    </row>
    <row r="502" spans="8:8" x14ac:dyDescent="0.35">
      <c r="H502"/>
    </row>
    <row r="503" spans="8:8" x14ac:dyDescent="0.35">
      <c r="H503"/>
    </row>
    <row r="504" spans="8:8" x14ac:dyDescent="0.35">
      <c r="H504"/>
    </row>
    <row r="505" spans="8:8" x14ac:dyDescent="0.35">
      <c r="H505"/>
    </row>
    <row r="506" spans="8:8" x14ac:dyDescent="0.35">
      <c r="H506"/>
    </row>
    <row r="507" spans="8:8" x14ac:dyDescent="0.35">
      <c r="H507"/>
    </row>
    <row r="508" spans="8:8" x14ac:dyDescent="0.35">
      <c r="H508"/>
    </row>
    <row r="509" spans="8:8" x14ac:dyDescent="0.35">
      <c r="H509"/>
    </row>
    <row r="510" spans="8:8" x14ac:dyDescent="0.35">
      <c r="H510"/>
    </row>
    <row r="511" spans="8:8" x14ac:dyDescent="0.35">
      <c r="H511"/>
    </row>
    <row r="512" spans="8:8" x14ac:dyDescent="0.35">
      <c r="H512"/>
    </row>
    <row r="513" spans="8:8" x14ac:dyDescent="0.35">
      <c r="H513"/>
    </row>
    <row r="514" spans="8:8" x14ac:dyDescent="0.35">
      <c r="H514"/>
    </row>
    <row r="515" spans="8:8" x14ac:dyDescent="0.35">
      <c r="H515"/>
    </row>
    <row r="516" spans="8:8" x14ac:dyDescent="0.35">
      <c r="H516"/>
    </row>
    <row r="517" spans="8:8" x14ac:dyDescent="0.35">
      <c r="H517"/>
    </row>
    <row r="518" spans="8:8" x14ac:dyDescent="0.35">
      <c r="H518"/>
    </row>
    <row r="519" spans="8:8" x14ac:dyDescent="0.35">
      <c r="H519"/>
    </row>
    <row r="520" spans="8:8" x14ac:dyDescent="0.35">
      <c r="H520"/>
    </row>
    <row r="521" spans="8:8" x14ac:dyDescent="0.35">
      <c r="H521"/>
    </row>
    <row r="522" spans="8:8" x14ac:dyDescent="0.35">
      <c r="H522"/>
    </row>
    <row r="523" spans="8:8" x14ac:dyDescent="0.35">
      <c r="H523"/>
    </row>
    <row r="524" spans="8:8" x14ac:dyDescent="0.35">
      <c r="H524"/>
    </row>
    <row r="525" spans="8:8" x14ac:dyDescent="0.35">
      <c r="H525"/>
    </row>
    <row r="526" spans="8:8" x14ac:dyDescent="0.35">
      <c r="H526"/>
    </row>
    <row r="527" spans="8:8" x14ac:dyDescent="0.35">
      <c r="H527"/>
    </row>
    <row r="528" spans="8:8" x14ac:dyDescent="0.35">
      <c r="H528"/>
    </row>
    <row r="529" spans="8:8" x14ac:dyDescent="0.35">
      <c r="H529"/>
    </row>
    <row r="530" spans="8:8" x14ac:dyDescent="0.35">
      <c r="H530"/>
    </row>
    <row r="531" spans="8:8" x14ac:dyDescent="0.35">
      <c r="H531"/>
    </row>
    <row r="532" spans="8:8" x14ac:dyDescent="0.35">
      <c r="H532"/>
    </row>
    <row r="533" spans="8:8" x14ac:dyDescent="0.35">
      <c r="H533"/>
    </row>
    <row r="534" spans="8:8" x14ac:dyDescent="0.35">
      <c r="H534"/>
    </row>
    <row r="535" spans="8:8" x14ac:dyDescent="0.35">
      <c r="H535"/>
    </row>
    <row r="536" spans="8:8" x14ac:dyDescent="0.35">
      <c r="H536"/>
    </row>
    <row r="537" spans="8:8" x14ac:dyDescent="0.35">
      <c r="H537"/>
    </row>
    <row r="538" spans="8:8" x14ac:dyDescent="0.35">
      <c r="H538"/>
    </row>
    <row r="539" spans="8:8" x14ac:dyDescent="0.35">
      <c r="H539"/>
    </row>
    <row r="540" spans="8:8" x14ac:dyDescent="0.35">
      <c r="H540"/>
    </row>
    <row r="541" spans="8:8" x14ac:dyDescent="0.35">
      <c r="H541"/>
    </row>
    <row r="542" spans="8:8" x14ac:dyDescent="0.35">
      <c r="H542"/>
    </row>
    <row r="543" spans="8:8" x14ac:dyDescent="0.35">
      <c r="H543"/>
    </row>
    <row r="544" spans="8:8" x14ac:dyDescent="0.35">
      <c r="H544"/>
    </row>
    <row r="545" spans="8:8" x14ac:dyDescent="0.35">
      <c r="H545"/>
    </row>
    <row r="546" spans="8:8" x14ac:dyDescent="0.35">
      <c r="H546"/>
    </row>
    <row r="547" spans="8:8" x14ac:dyDescent="0.35">
      <c r="H547"/>
    </row>
    <row r="548" spans="8:8" x14ac:dyDescent="0.35">
      <c r="H548"/>
    </row>
    <row r="549" spans="8:8" x14ac:dyDescent="0.35">
      <c r="H549"/>
    </row>
    <row r="550" spans="8:8" x14ac:dyDescent="0.35">
      <c r="H550"/>
    </row>
    <row r="551" spans="8:8" x14ac:dyDescent="0.35">
      <c r="H551"/>
    </row>
    <row r="552" spans="8:8" x14ac:dyDescent="0.35">
      <c r="H552"/>
    </row>
    <row r="553" spans="8:8" x14ac:dyDescent="0.35">
      <c r="H553"/>
    </row>
    <row r="554" spans="8:8" x14ac:dyDescent="0.35">
      <c r="H554"/>
    </row>
    <row r="555" spans="8:8" x14ac:dyDescent="0.35">
      <c r="H555"/>
    </row>
    <row r="556" spans="8:8" x14ac:dyDescent="0.35">
      <c r="H556"/>
    </row>
    <row r="557" spans="8:8" x14ac:dyDescent="0.35">
      <c r="H557"/>
    </row>
    <row r="558" spans="8:8" x14ac:dyDescent="0.35">
      <c r="H558"/>
    </row>
    <row r="559" spans="8:8" x14ac:dyDescent="0.35">
      <c r="H559"/>
    </row>
    <row r="560" spans="8:8" x14ac:dyDescent="0.35">
      <c r="H560"/>
    </row>
    <row r="561" spans="8:8" x14ac:dyDescent="0.35">
      <c r="H561"/>
    </row>
    <row r="562" spans="8:8" x14ac:dyDescent="0.35">
      <c r="H562"/>
    </row>
    <row r="563" spans="8:8" x14ac:dyDescent="0.35">
      <c r="H563"/>
    </row>
    <row r="564" spans="8:8" x14ac:dyDescent="0.35">
      <c r="H564"/>
    </row>
    <row r="565" spans="8:8" x14ac:dyDescent="0.35">
      <c r="H565"/>
    </row>
    <row r="566" spans="8:8" x14ac:dyDescent="0.35">
      <c r="H566"/>
    </row>
    <row r="567" spans="8:8" x14ac:dyDescent="0.35">
      <c r="H567"/>
    </row>
    <row r="568" spans="8:8" x14ac:dyDescent="0.35">
      <c r="H568"/>
    </row>
    <row r="569" spans="8:8" x14ac:dyDescent="0.35">
      <c r="H569"/>
    </row>
    <row r="570" spans="8:8" x14ac:dyDescent="0.35">
      <c r="H570"/>
    </row>
    <row r="571" spans="8:8" x14ac:dyDescent="0.35">
      <c r="H571"/>
    </row>
    <row r="572" spans="8:8" x14ac:dyDescent="0.35">
      <c r="H572"/>
    </row>
    <row r="573" spans="8:8" x14ac:dyDescent="0.35">
      <c r="H573"/>
    </row>
    <row r="574" spans="8:8" x14ac:dyDescent="0.35">
      <c r="H574"/>
    </row>
    <row r="575" spans="8:8" x14ac:dyDescent="0.35">
      <c r="H575"/>
    </row>
    <row r="576" spans="8:8" x14ac:dyDescent="0.35">
      <c r="H576"/>
    </row>
    <row r="577" spans="8:8" x14ac:dyDescent="0.35">
      <c r="H577"/>
    </row>
    <row r="578" spans="8:8" x14ac:dyDescent="0.35">
      <c r="H578"/>
    </row>
    <row r="579" spans="8:8" x14ac:dyDescent="0.35">
      <c r="H579"/>
    </row>
    <row r="580" spans="8:8" x14ac:dyDescent="0.35">
      <c r="H580"/>
    </row>
    <row r="581" spans="8:8" x14ac:dyDescent="0.35">
      <c r="H581"/>
    </row>
    <row r="582" spans="8:8" x14ac:dyDescent="0.35">
      <c r="H582"/>
    </row>
    <row r="583" spans="8:8" x14ac:dyDescent="0.35">
      <c r="H583"/>
    </row>
    <row r="584" spans="8:8" x14ac:dyDescent="0.35">
      <c r="H584"/>
    </row>
    <row r="585" spans="8:8" x14ac:dyDescent="0.35">
      <c r="H585"/>
    </row>
    <row r="586" spans="8:8" x14ac:dyDescent="0.35">
      <c r="H586"/>
    </row>
    <row r="587" spans="8:8" x14ac:dyDescent="0.35">
      <c r="H587"/>
    </row>
    <row r="588" spans="8:8" x14ac:dyDescent="0.35">
      <c r="H588"/>
    </row>
    <row r="589" spans="8:8" x14ac:dyDescent="0.35">
      <c r="H589"/>
    </row>
    <row r="590" spans="8:8" x14ac:dyDescent="0.35">
      <c r="H590"/>
    </row>
    <row r="591" spans="8:8" x14ac:dyDescent="0.35">
      <c r="H591"/>
    </row>
    <row r="592" spans="8:8" x14ac:dyDescent="0.35">
      <c r="H592"/>
    </row>
    <row r="593" spans="8:8" x14ac:dyDescent="0.35">
      <c r="H593"/>
    </row>
    <row r="594" spans="8:8" x14ac:dyDescent="0.35">
      <c r="H594"/>
    </row>
    <row r="595" spans="8:8" x14ac:dyDescent="0.35">
      <c r="H595"/>
    </row>
    <row r="596" spans="8:8" x14ac:dyDescent="0.35">
      <c r="H596"/>
    </row>
    <row r="597" spans="8:8" x14ac:dyDescent="0.35">
      <c r="H597"/>
    </row>
    <row r="598" spans="8:8" x14ac:dyDescent="0.35">
      <c r="H598"/>
    </row>
    <row r="599" spans="8:8" x14ac:dyDescent="0.35">
      <c r="H599"/>
    </row>
  </sheetData>
  <pageMargins left="0.7" right="0.7" top="0.75" bottom="0.75" header="0.3" footer="0.3"/>
  <pageSetup orientation="portrait"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K379"/>
  <sheetViews>
    <sheetView topLeftCell="B33" workbookViewId="0">
      <selection activeCell="B46" sqref="B46"/>
    </sheetView>
  </sheetViews>
  <sheetFormatPr defaultRowHeight="14.5" x14ac:dyDescent="0.35"/>
  <cols>
    <col min="1" max="1" width="16.36328125" bestFit="1" customWidth="1"/>
    <col min="2" max="2" width="20.453125" bestFit="1" customWidth="1"/>
    <col min="3" max="3" width="14" bestFit="1" customWidth="1"/>
    <col min="4" max="4" width="16.36328125" bestFit="1" customWidth="1"/>
    <col min="5" max="5" width="13.36328125" bestFit="1" customWidth="1"/>
    <col min="6" max="6" width="20.453125" bestFit="1" customWidth="1"/>
    <col min="7" max="7" width="16.36328125" bestFit="1" customWidth="1"/>
    <col min="8" max="8" width="16.08984375" bestFit="1" customWidth="1"/>
    <col min="9" max="9" width="17" bestFit="1" customWidth="1"/>
    <col min="10" max="10" width="12.7265625" bestFit="1" customWidth="1"/>
    <col min="11" max="11" width="14.81640625" bestFit="1" customWidth="1"/>
    <col min="12" max="12" width="14.7265625" bestFit="1" customWidth="1"/>
    <col min="13" max="13" width="15.26953125" bestFit="1" customWidth="1"/>
    <col min="14" max="14" width="13.6328125" bestFit="1" customWidth="1"/>
    <col min="15" max="15" width="22.1796875" bestFit="1" customWidth="1"/>
    <col min="16" max="16" width="14.1796875" bestFit="1" customWidth="1"/>
    <col min="17" max="17" width="17" bestFit="1" customWidth="1"/>
    <col min="20" max="32" width="18.7265625" bestFit="1" customWidth="1"/>
    <col min="33" max="33" width="10.7265625" bestFit="1" customWidth="1"/>
  </cols>
  <sheetData>
    <row r="1" spans="1:17" x14ac:dyDescent="0.35">
      <c r="H1" s="8"/>
    </row>
    <row r="2" spans="1:17" x14ac:dyDescent="0.35">
      <c r="H2" s="8"/>
    </row>
    <row r="3" spans="1:17" x14ac:dyDescent="0.35">
      <c r="A3" t="s">
        <v>13</v>
      </c>
      <c r="B3" t="s">
        <v>23</v>
      </c>
      <c r="C3" t="s">
        <v>22</v>
      </c>
      <c r="D3" t="s">
        <v>21</v>
      </c>
      <c r="E3" t="s">
        <v>24</v>
      </c>
      <c r="F3" t="s">
        <v>17</v>
      </c>
      <c r="G3" t="s">
        <v>25</v>
      </c>
      <c r="H3" t="s">
        <v>29</v>
      </c>
      <c r="K3" t="s">
        <v>23</v>
      </c>
      <c r="L3" t="s">
        <v>22</v>
      </c>
      <c r="M3" t="s">
        <v>21</v>
      </c>
      <c r="N3" t="s">
        <v>24</v>
      </c>
      <c r="O3" t="s">
        <v>17</v>
      </c>
      <c r="P3" t="s">
        <v>25</v>
      </c>
      <c r="Q3" t="s">
        <v>29</v>
      </c>
    </row>
    <row r="4" spans="1:17" x14ac:dyDescent="0.35">
      <c r="A4" s="6">
        <v>23</v>
      </c>
      <c r="B4" s="6">
        <v>125</v>
      </c>
      <c r="C4" s="6">
        <v>71</v>
      </c>
      <c r="D4" s="6">
        <v>18</v>
      </c>
      <c r="E4" s="6">
        <v>4</v>
      </c>
      <c r="F4" s="7">
        <v>0.15434782608695652</v>
      </c>
      <c r="G4" s="7">
        <v>0.17391304347826086</v>
      </c>
      <c r="H4" s="8">
        <v>17.75</v>
      </c>
      <c r="K4">
        <f>B4</f>
        <v>125</v>
      </c>
      <c r="L4">
        <f t="shared" ref="L4:Q4" si="0">C4</f>
        <v>71</v>
      </c>
      <c r="M4">
        <f t="shared" si="0"/>
        <v>18</v>
      </c>
      <c r="N4">
        <f t="shared" si="0"/>
        <v>4</v>
      </c>
      <c r="O4" s="7">
        <f t="shared" si="0"/>
        <v>0.15434782608695652</v>
      </c>
      <c r="P4" s="7">
        <f t="shared" si="0"/>
        <v>0.17391304347826086</v>
      </c>
      <c r="Q4" s="8">
        <f t="shared" si="0"/>
        <v>17.75</v>
      </c>
    </row>
    <row r="11" spans="1:17" x14ac:dyDescent="0.35">
      <c r="A11" s="9" t="s">
        <v>20</v>
      </c>
      <c r="B11" t="s">
        <v>17</v>
      </c>
      <c r="D11" s="9" t="s">
        <v>20</v>
      </c>
      <c r="E11" t="s">
        <v>18</v>
      </c>
      <c r="G11" s="9" t="s">
        <v>20</v>
      </c>
      <c r="H11" t="s">
        <v>29</v>
      </c>
      <c r="J11" t="s">
        <v>7</v>
      </c>
      <c r="K11" t="s">
        <v>30</v>
      </c>
      <c r="L11" t="s">
        <v>7</v>
      </c>
      <c r="M11" t="s">
        <v>15</v>
      </c>
      <c r="N11" t="s">
        <v>7</v>
      </c>
      <c r="O11" t="s">
        <v>28</v>
      </c>
    </row>
    <row r="12" spans="1:17" x14ac:dyDescent="0.35">
      <c r="A12" s="10" t="s">
        <v>414</v>
      </c>
      <c r="B12" s="7">
        <v>0.15434782608695652</v>
      </c>
      <c r="D12" s="10" t="s">
        <v>414</v>
      </c>
      <c r="E12" s="7">
        <v>0.17391304347826086</v>
      </c>
      <c r="G12" s="10" t="s">
        <v>414</v>
      </c>
      <c r="H12" s="8">
        <v>17.75</v>
      </c>
      <c r="J12" t="str">
        <f>A12</f>
        <v>AS-Prateek Kapoor</v>
      </c>
      <c r="K12" s="7">
        <f>B12</f>
        <v>0.15434782608695652</v>
      </c>
      <c r="L12" s="7" t="str">
        <f>D12</f>
        <v>AS-Prateek Kapoor</v>
      </c>
      <c r="M12" s="7">
        <f>E12</f>
        <v>0.17391304347826086</v>
      </c>
      <c r="N12" s="7" t="str">
        <f>G12</f>
        <v>AS-Prateek Kapoor</v>
      </c>
      <c r="O12" s="8">
        <f>H12</f>
        <v>17.75</v>
      </c>
    </row>
    <row r="13" spans="1:17" x14ac:dyDescent="0.35">
      <c r="J13">
        <f t="shared" ref="J13:K16" si="1">A13</f>
        <v>0</v>
      </c>
      <c r="K13" s="7">
        <f t="shared" si="1"/>
        <v>0</v>
      </c>
      <c r="L13" s="7">
        <f t="shared" ref="L13:M16" si="2">D13</f>
        <v>0</v>
      </c>
      <c r="M13" s="7">
        <f t="shared" si="2"/>
        <v>0</v>
      </c>
      <c r="N13" s="7">
        <f t="shared" ref="N13:O16" si="3">G13</f>
        <v>0</v>
      </c>
      <c r="O13" s="8">
        <f t="shared" si="3"/>
        <v>0</v>
      </c>
    </row>
    <row r="14" spans="1:17" x14ac:dyDescent="0.35">
      <c r="J14">
        <f t="shared" si="1"/>
        <v>0</v>
      </c>
      <c r="K14" s="7">
        <f t="shared" si="1"/>
        <v>0</v>
      </c>
      <c r="L14" s="7">
        <f t="shared" si="2"/>
        <v>0</v>
      </c>
      <c r="M14" s="7">
        <f t="shared" si="2"/>
        <v>0</v>
      </c>
      <c r="N14" s="7">
        <f t="shared" si="3"/>
        <v>0</v>
      </c>
      <c r="O14" s="8">
        <f t="shared" si="3"/>
        <v>0</v>
      </c>
    </row>
    <row r="15" spans="1:17" x14ac:dyDescent="0.35">
      <c r="J15">
        <f t="shared" si="1"/>
        <v>0</v>
      </c>
      <c r="K15" s="7">
        <f t="shared" si="1"/>
        <v>0</v>
      </c>
      <c r="L15" s="7">
        <f t="shared" si="2"/>
        <v>0</v>
      </c>
      <c r="M15" s="7">
        <f t="shared" si="2"/>
        <v>0</v>
      </c>
      <c r="N15" s="7">
        <f t="shared" si="3"/>
        <v>0</v>
      </c>
      <c r="O15" s="8">
        <f t="shared" si="3"/>
        <v>0</v>
      </c>
    </row>
    <row r="16" spans="1:17" x14ac:dyDescent="0.35">
      <c r="J16">
        <f t="shared" si="1"/>
        <v>0</v>
      </c>
      <c r="K16" s="7">
        <f t="shared" si="1"/>
        <v>0</v>
      </c>
      <c r="L16" s="7">
        <f t="shared" si="2"/>
        <v>0</v>
      </c>
      <c r="M16" s="7">
        <f t="shared" si="2"/>
        <v>0</v>
      </c>
      <c r="N16" s="7">
        <f t="shared" si="3"/>
        <v>0</v>
      </c>
      <c r="O16" s="8">
        <f t="shared" si="3"/>
        <v>0</v>
      </c>
    </row>
    <row r="46" spans="2:37" x14ac:dyDescent="0.35">
      <c r="F46" s="26"/>
      <c r="I46" s="27"/>
      <c r="R46" s="26"/>
      <c r="U46" s="27"/>
    </row>
    <row r="47" spans="2:37" x14ac:dyDescent="0.35">
      <c r="C47" s="26"/>
      <c r="F47" s="26"/>
      <c r="I47" s="27"/>
      <c r="O47" s="26"/>
      <c r="R47" s="26"/>
      <c r="U47" s="27"/>
    </row>
    <row r="48" spans="2:37" x14ac:dyDescent="0.35">
      <c r="B48" s="55"/>
      <c r="C48" s="56" t="s">
        <v>37</v>
      </c>
      <c r="D48" s="55"/>
      <c r="E48" s="55"/>
      <c r="F48" s="55"/>
      <c r="G48" s="55"/>
      <c r="H48" s="55"/>
      <c r="I48" s="55"/>
      <c r="J48" s="55"/>
      <c r="K48" s="55"/>
      <c r="L48" s="55"/>
      <c r="N48" s="55"/>
      <c r="O48" s="55"/>
      <c r="P48" s="55"/>
      <c r="Q48" s="55"/>
      <c r="R48" s="55"/>
      <c r="S48" s="55"/>
      <c r="T48" s="55"/>
      <c r="Y48" s="9"/>
      <c r="Z48" s="9"/>
      <c r="AA48" s="9"/>
      <c r="AB48" s="9"/>
      <c r="AC48" s="9"/>
      <c r="AD48" s="9"/>
      <c r="AE48" s="9"/>
      <c r="AF48" s="9"/>
      <c r="AG48" s="9"/>
      <c r="AH48" s="9"/>
      <c r="AI48" s="9"/>
      <c r="AJ48" s="9"/>
      <c r="AK48" s="9"/>
    </row>
    <row r="49" spans="2:20" x14ac:dyDescent="0.35">
      <c r="B49" s="55"/>
      <c r="C49" s="57" t="s">
        <v>31</v>
      </c>
      <c r="D49" s="57" t="s">
        <v>32</v>
      </c>
      <c r="E49" s="57" t="s">
        <v>33</v>
      </c>
      <c r="F49" s="57" t="s">
        <v>34</v>
      </c>
      <c r="G49" s="57" t="s">
        <v>35</v>
      </c>
      <c r="H49" s="57" t="s">
        <v>36</v>
      </c>
      <c r="I49" s="58" t="s">
        <v>19</v>
      </c>
      <c r="J49" s="55" t="s">
        <v>524</v>
      </c>
      <c r="K49" s="55" t="s">
        <v>525</v>
      </c>
      <c r="L49" s="55" t="s">
        <v>527</v>
      </c>
      <c r="N49" s="55"/>
      <c r="O49" s="57"/>
      <c r="P49" s="57"/>
      <c r="Q49" s="57"/>
      <c r="R49" s="57"/>
      <c r="S49" s="57"/>
      <c r="T49" s="57"/>
    </row>
    <row r="50" spans="2:20" x14ac:dyDescent="0.35">
      <c r="B50" s="55" t="s">
        <v>38</v>
      </c>
      <c r="C50" s="59">
        <v>125</v>
      </c>
      <c r="D50" s="59">
        <v>71</v>
      </c>
      <c r="E50" s="59">
        <v>18</v>
      </c>
      <c r="F50" s="59">
        <v>4</v>
      </c>
      <c r="G50" s="60">
        <v>0.15434782608695652</v>
      </c>
      <c r="H50" s="60">
        <v>0.17391304347826086</v>
      </c>
      <c r="I50" s="58">
        <v>17.75</v>
      </c>
      <c r="J50" s="59">
        <v>10915</v>
      </c>
      <c r="K50" s="59">
        <v>23</v>
      </c>
      <c r="L50" s="59">
        <v>3.8015931964573269</v>
      </c>
      <c r="N50" s="55"/>
      <c r="O50" s="57"/>
      <c r="P50" s="57"/>
      <c r="Q50" s="57"/>
      <c r="R50" s="57"/>
      <c r="S50" s="57"/>
      <c r="T50" s="57"/>
    </row>
    <row r="51" spans="2:20" x14ac:dyDescent="0.35">
      <c r="B51" s="26"/>
      <c r="C51" s="26"/>
      <c r="D51" s="26"/>
      <c r="E51" s="26"/>
      <c r="F51" s="26"/>
      <c r="G51" s="26"/>
      <c r="H51" s="26"/>
      <c r="I51" s="26"/>
      <c r="N51" s="55"/>
      <c r="O51" s="57"/>
      <c r="P51" s="57"/>
      <c r="Q51" s="57"/>
      <c r="R51" s="57"/>
      <c r="S51" s="57"/>
      <c r="T51" s="57"/>
    </row>
    <row r="52" spans="2:20" x14ac:dyDescent="0.35">
      <c r="B52" s="26"/>
      <c r="C52" s="26">
        <f>C50</f>
        <v>125</v>
      </c>
      <c r="D52" s="26">
        <f t="shared" ref="D52:L52" si="4">D50</f>
        <v>71</v>
      </c>
      <c r="E52" s="26">
        <f t="shared" si="4"/>
        <v>18</v>
      </c>
      <c r="F52" s="26">
        <f t="shared" si="4"/>
        <v>4</v>
      </c>
      <c r="G52" s="27">
        <f t="shared" si="4"/>
        <v>0.15434782608695652</v>
      </c>
      <c r="H52" s="27">
        <f t="shared" si="4"/>
        <v>0.17391304347826086</v>
      </c>
      <c r="I52" s="28">
        <f t="shared" si="4"/>
        <v>17.75</v>
      </c>
      <c r="J52" s="28">
        <f t="shared" si="4"/>
        <v>10915</v>
      </c>
      <c r="K52" s="28">
        <f t="shared" si="4"/>
        <v>23</v>
      </c>
      <c r="L52" s="43">
        <f t="shared" si="4"/>
        <v>3.8015931964573269</v>
      </c>
      <c r="N52" s="55"/>
      <c r="O52" s="57"/>
      <c r="P52" s="57"/>
      <c r="Q52" s="57"/>
      <c r="R52" s="57"/>
      <c r="S52" s="57"/>
      <c r="T52" s="57"/>
    </row>
    <row r="53" spans="2:20" x14ac:dyDescent="0.35">
      <c r="N53" s="55"/>
      <c r="O53" s="57"/>
      <c r="P53" s="57"/>
      <c r="Q53" s="57"/>
      <c r="R53" s="57"/>
      <c r="S53" s="57"/>
      <c r="T53" s="57"/>
    </row>
    <row r="54" spans="2:20" x14ac:dyDescent="0.35">
      <c r="N54" s="55"/>
      <c r="O54" s="57"/>
      <c r="P54" s="57"/>
      <c r="Q54" s="57"/>
      <c r="R54" s="57"/>
      <c r="S54" s="57"/>
      <c r="T54" s="57"/>
    </row>
    <row r="55" spans="2:20" x14ac:dyDescent="0.35">
      <c r="C55" t="s">
        <v>31</v>
      </c>
      <c r="D55">
        <f>C52</f>
        <v>125</v>
      </c>
      <c r="N55" s="55"/>
      <c r="O55" s="57"/>
      <c r="P55" s="57"/>
      <c r="Q55" s="57"/>
      <c r="R55" s="57"/>
      <c r="S55" s="57"/>
      <c r="T55" s="57"/>
    </row>
    <row r="56" spans="2:20" x14ac:dyDescent="0.35">
      <c r="C56" t="s">
        <v>32</v>
      </c>
      <c r="D56">
        <f>D52</f>
        <v>71</v>
      </c>
      <c r="N56" s="55"/>
      <c r="O56" s="57"/>
      <c r="P56" s="57"/>
      <c r="Q56" s="57"/>
      <c r="R56" s="57"/>
      <c r="S56" s="57"/>
      <c r="T56" s="57"/>
    </row>
    <row r="57" spans="2:20" x14ac:dyDescent="0.35">
      <c r="C57" t="s">
        <v>33</v>
      </c>
      <c r="D57">
        <f>E52</f>
        <v>18</v>
      </c>
      <c r="N57" s="55"/>
      <c r="O57" s="57"/>
      <c r="P57" s="57"/>
      <c r="Q57" s="57"/>
      <c r="R57" s="57"/>
      <c r="S57" s="57"/>
      <c r="T57" s="57"/>
    </row>
    <row r="58" spans="2:20" x14ac:dyDescent="0.35">
      <c r="C58" t="s">
        <v>34</v>
      </c>
      <c r="D58">
        <f>F52</f>
        <v>4</v>
      </c>
      <c r="N58" s="55"/>
      <c r="O58" s="57"/>
      <c r="P58" s="57"/>
      <c r="Q58" s="57"/>
      <c r="R58" s="57"/>
      <c r="S58" s="57"/>
      <c r="T58" s="57"/>
    </row>
    <row r="59" spans="2:20" x14ac:dyDescent="0.35">
      <c r="N59" s="55"/>
      <c r="O59" s="57"/>
      <c r="P59" s="57"/>
      <c r="Q59" s="57"/>
      <c r="R59" s="57"/>
      <c r="S59" s="57"/>
      <c r="T59" s="57"/>
    </row>
    <row r="60" spans="2:20" x14ac:dyDescent="0.35">
      <c r="N60" s="55"/>
      <c r="O60" s="57"/>
      <c r="P60" s="57"/>
      <c r="Q60" s="57"/>
      <c r="R60" s="57"/>
      <c r="S60" s="57"/>
      <c r="T60" s="57"/>
    </row>
    <row r="61" spans="2:20" x14ac:dyDescent="0.35">
      <c r="N61" s="55"/>
      <c r="O61" s="57"/>
      <c r="P61" s="57"/>
      <c r="Q61" s="57"/>
      <c r="R61" s="57"/>
      <c r="S61" s="57"/>
      <c r="T61" s="57"/>
    </row>
    <row r="373" spans="3:9" x14ac:dyDescent="0.35">
      <c r="C373" s="6"/>
      <c r="D373" s="6"/>
      <c r="E373" s="6"/>
      <c r="F373" s="6"/>
      <c r="G373" s="7"/>
      <c r="H373" s="7"/>
      <c r="I373" s="8"/>
    </row>
    <row r="374" spans="3:9" x14ac:dyDescent="0.35">
      <c r="C374" s="6"/>
      <c r="D374" s="6"/>
      <c r="E374" s="6"/>
      <c r="F374" s="6"/>
      <c r="G374" s="7"/>
      <c r="H374" s="7"/>
      <c r="I374" s="8"/>
    </row>
    <row r="375" spans="3:9" x14ac:dyDescent="0.35">
      <c r="C375" s="6"/>
      <c r="D375" s="6"/>
      <c r="E375" s="6"/>
      <c r="F375" s="6"/>
      <c r="G375" s="7"/>
      <c r="H375" s="7"/>
      <c r="I375" s="8"/>
    </row>
    <row r="376" spans="3:9" x14ac:dyDescent="0.35">
      <c r="C376" s="6"/>
      <c r="D376" s="6"/>
      <c r="E376" s="6"/>
      <c r="F376" s="6"/>
      <c r="G376" s="7"/>
      <c r="H376" s="7"/>
      <c r="I376" s="8"/>
    </row>
    <row r="377" spans="3:9" x14ac:dyDescent="0.35">
      <c r="C377" s="6"/>
      <c r="D377" s="6"/>
      <c r="E377" s="6"/>
      <c r="F377" s="6"/>
      <c r="G377" s="7"/>
      <c r="H377" s="7"/>
      <c r="I377" s="8"/>
    </row>
    <row r="378" spans="3:9" x14ac:dyDescent="0.35">
      <c r="C378" s="6"/>
      <c r="D378" s="6"/>
      <c r="E378" s="6"/>
      <c r="F378" s="6"/>
      <c r="G378" s="7"/>
      <c r="H378" s="7"/>
      <c r="I378" s="8"/>
    </row>
    <row r="379" spans="3:9" x14ac:dyDescent="0.35">
      <c r="C379" s="6"/>
      <c r="D379" s="6"/>
      <c r="E379" s="6"/>
      <c r="F379" s="6"/>
      <c r="G379" s="7"/>
      <c r="H379" s="7"/>
      <c r="I379" s="8"/>
    </row>
  </sheetData>
  <pageMargins left="0.7" right="0.7" top="0.75" bottom="0.75" header="0.3" footer="0.3"/>
  <pageSetup orientation="portrait" r:id="rId7"/>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tabColor rgb="FF00B050"/>
  </sheetPr>
  <dimension ref="E6:O689"/>
  <sheetViews>
    <sheetView showGridLines="0" showRowColHeaders="0" zoomScale="85" zoomScaleNormal="85" workbookViewId="0">
      <selection activeCell="J12" sqref="J12"/>
    </sheetView>
  </sheetViews>
  <sheetFormatPr defaultRowHeight="14.5" x14ac:dyDescent="0.35"/>
  <cols>
    <col min="4" max="4" width="1.1796875" customWidth="1"/>
    <col min="5" max="5" width="25.54296875" bestFit="1" customWidth="1"/>
    <col min="6" max="6" width="15.1796875" customWidth="1"/>
    <col min="7" max="7" width="14.54296875" customWidth="1"/>
    <col min="8" max="8" width="15.1796875" customWidth="1"/>
    <col min="9" max="9" width="14" customWidth="1"/>
    <col min="10" max="10" width="15.81640625" customWidth="1"/>
    <col min="11" max="11" width="18.453125" customWidth="1"/>
    <col min="12" max="12" width="15.26953125" customWidth="1"/>
    <col min="13" max="13" width="14.7265625" style="17" customWidth="1"/>
    <col min="14" max="14" width="1" style="17" customWidth="1"/>
    <col min="15" max="15" width="19.7265625" customWidth="1"/>
  </cols>
  <sheetData>
    <row r="6" spans="5:15" x14ac:dyDescent="0.35">
      <c r="G6" s="19"/>
      <c r="H6" s="19"/>
      <c r="I6" s="19"/>
      <c r="J6" s="19"/>
      <c r="K6" s="20"/>
      <c r="L6" s="20"/>
      <c r="M6" s="23"/>
      <c r="N6" s="23"/>
      <c r="O6" s="19"/>
    </row>
    <row r="7" spans="5:15" x14ac:dyDescent="0.35">
      <c r="E7" s="19"/>
      <c r="F7" s="19"/>
      <c r="G7" s="19"/>
      <c r="H7" s="19"/>
      <c r="I7" s="19"/>
      <c r="J7" s="19"/>
      <c r="K7" s="20"/>
      <c r="L7" s="20"/>
      <c r="M7" s="23"/>
      <c r="N7" s="23"/>
      <c r="O7" s="19"/>
    </row>
    <row r="8" spans="5:15" x14ac:dyDescent="0.35">
      <c r="E8" s="48"/>
      <c r="F8" s="53" t="s">
        <v>37</v>
      </c>
      <c r="G8" s="48"/>
      <c r="H8" s="48"/>
      <c r="I8" s="48"/>
      <c r="J8" s="48"/>
      <c r="K8" s="48"/>
      <c r="L8" s="48"/>
      <c r="M8" s="48"/>
      <c r="N8" s="24"/>
    </row>
    <row r="9" spans="5:15" x14ac:dyDescent="0.35">
      <c r="E9" s="48" t="s">
        <v>0</v>
      </c>
      <c r="F9" s="48" t="s">
        <v>523</v>
      </c>
      <c r="G9" s="49" t="s">
        <v>31</v>
      </c>
      <c r="H9" s="49" t="s">
        <v>32</v>
      </c>
      <c r="I9" s="49" t="s">
        <v>33</v>
      </c>
      <c r="J9" s="49" t="s">
        <v>34</v>
      </c>
      <c r="K9" s="49" t="s">
        <v>35</v>
      </c>
      <c r="L9" s="49" t="s">
        <v>36</v>
      </c>
      <c r="M9" s="50" t="s">
        <v>19</v>
      </c>
      <c r="N9" s="25"/>
    </row>
    <row r="10" spans="5:15" x14ac:dyDescent="0.35">
      <c r="E10" s="54" t="s">
        <v>200</v>
      </c>
      <c r="F10" s="51">
        <v>868</v>
      </c>
      <c r="G10" s="51">
        <v>6</v>
      </c>
      <c r="H10" s="51">
        <v>3</v>
      </c>
      <c r="I10" s="51">
        <v>0</v>
      </c>
      <c r="J10" s="51">
        <v>0</v>
      </c>
      <c r="K10" s="52">
        <v>0.15</v>
      </c>
      <c r="L10" s="52">
        <v>0</v>
      </c>
      <c r="M10" s="50">
        <v>0</v>
      </c>
      <c r="N10" s="25"/>
    </row>
    <row r="11" spans="5:15" x14ac:dyDescent="0.35">
      <c r="E11" s="54" t="s">
        <v>203</v>
      </c>
      <c r="F11" s="51">
        <v>95</v>
      </c>
      <c r="G11" s="51">
        <v>5</v>
      </c>
      <c r="H11" s="51">
        <v>4</v>
      </c>
      <c r="I11" s="51">
        <v>0</v>
      </c>
      <c r="J11" s="51">
        <v>2</v>
      </c>
      <c r="K11" s="52">
        <v>0.2</v>
      </c>
      <c r="L11" s="52">
        <v>2</v>
      </c>
      <c r="M11" s="50">
        <v>2</v>
      </c>
      <c r="N11" s="25"/>
    </row>
    <row r="12" spans="5:15" x14ac:dyDescent="0.35">
      <c r="E12" s="54" t="s">
        <v>187</v>
      </c>
      <c r="F12" s="51">
        <v>322</v>
      </c>
      <c r="G12" s="51">
        <v>10</v>
      </c>
      <c r="H12" s="51">
        <v>7</v>
      </c>
      <c r="I12" s="51">
        <v>0</v>
      </c>
      <c r="J12" s="51">
        <v>0</v>
      </c>
      <c r="K12" s="52">
        <v>0.35</v>
      </c>
      <c r="L12" s="52">
        <v>0</v>
      </c>
      <c r="M12" s="50">
        <v>0</v>
      </c>
      <c r="N12" s="25"/>
    </row>
    <row r="13" spans="5:15" x14ac:dyDescent="0.35">
      <c r="E13" s="54" t="s">
        <v>195</v>
      </c>
      <c r="F13" s="51">
        <v>0</v>
      </c>
      <c r="G13" s="51">
        <v>0</v>
      </c>
      <c r="H13" s="51">
        <v>0</v>
      </c>
      <c r="I13" s="51">
        <v>0</v>
      </c>
      <c r="J13" s="51">
        <v>0</v>
      </c>
      <c r="K13" s="52">
        <v>0</v>
      </c>
      <c r="L13" s="52">
        <v>0</v>
      </c>
      <c r="M13" s="50">
        <v>0</v>
      </c>
      <c r="N13" s="25"/>
    </row>
    <row r="14" spans="5:15" x14ac:dyDescent="0.35">
      <c r="E14" s="54" t="s">
        <v>189</v>
      </c>
      <c r="F14" s="51">
        <v>1090</v>
      </c>
      <c r="G14" s="51">
        <v>7</v>
      </c>
      <c r="H14" s="51">
        <v>3</v>
      </c>
      <c r="I14" s="51">
        <v>0</v>
      </c>
      <c r="J14" s="51">
        <v>0</v>
      </c>
      <c r="K14" s="52">
        <v>0.15</v>
      </c>
      <c r="L14" s="52">
        <v>0</v>
      </c>
      <c r="M14" s="50">
        <v>0</v>
      </c>
      <c r="N14" s="25"/>
    </row>
    <row r="15" spans="5:15" x14ac:dyDescent="0.35">
      <c r="E15" s="54" t="s">
        <v>192</v>
      </c>
      <c r="F15" s="51">
        <v>16</v>
      </c>
      <c r="G15" s="51">
        <v>0</v>
      </c>
      <c r="H15" s="51">
        <v>0</v>
      </c>
      <c r="I15" s="51">
        <v>0</v>
      </c>
      <c r="J15" s="51">
        <v>0</v>
      </c>
      <c r="K15" s="52">
        <v>0</v>
      </c>
      <c r="L15" s="52">
        <v>0</v>
      </c>
      <c r="M15" s="50">
        <v>0</v>
      </c>
      <c r="N15" s="25"/>
    </row>
    <row r="16" spans="5:15" x14ac:dyDescent="0.35">
      <c r="E16" s="54" t="s">
        <v>188</v>
      </c>
      <c r="F16" s="51">
        <v>725</v>
      </c>
      <c r="G16" s="51">
        <v>8</v>
      </c>
      <c r="H16" s="51">
        <v>5</v>
      </c>
      <c r="I16" s="51">
        <v>3</v>
      </c>
      <c r="J16" s="51">
        <v>0</v>
      </c>
      <c r="K16" s="52">
        <v>0.25</v>
      </c>
      <c r="L16" s="52">
        <v>0</v>
      </c>
      <c r="M16" s="50">
        <v>0</v>
      </c>
      <c r="N16" s="25"/>
    </row>
    <row r="17" spans="5:14" x14ac:dyDescent="0.35">
      <c r="E17" s="54" t="s">
        <v>190</v>
      </c>
      <c r="F17" s="51">
        <v>129</v>
      </c>
      <c r="G17" s="51">
        <v>0</v>
      </c>
      <c r="H17" s="51">
        <v>0</v>
      </c>
      <c r="I17" s="51">
        <v>0</v>
      </c>
      <c r="J17" s="51">
        <v>0</v>
      </c>
      <c r="K17" s="52">
        <v>0</v>
      </c>
      <c r="L17" s="52">
        <v>0</v>
      </c>
      <c r="M17" s="50">
        <v>0</v>
      </c>
      <c r="N17" s="25"/>
    </row>
    <row r="18" spans="5:14" x14ac:dyDescent="0.35">
      <c r="E18" s="54" t="s">
        <v>194</v>
      </c>
      <c r="F18" s="51">
        <v>940</v>
      </c>
      <c r="G18" s="51">
        <v>5</v>
      </c>
      <c r="H18" s="51">
        <v>2</v>
      </c>
      <c r="I18" s="51">
        <v>0</v>
      </c>
      <c r="J18" s="51">
        <v>0</v>
      </c>
      <c r="K18" s="52">
        <v>0.1</v>
      </c>
      <c r="L18" s="52">
        <v>0</v>
      </c>
      <c r="M18" s="50">
        <v>0</v>
      </c>
      <c r="N18" s="25"/>
    </row>
    <row r="19" spans="5:14" x14ac:dyDescent="0.35">
      <c r="E19" s="54" t="s">
        <v>202</v>
      </c>
      <c r="F19" s="51">
        <v>824</v>
      </c>
      <c r="G19" s="51">
        <v>3</v>
      </c>
      <c r="H19" s="51">
        <v>1</v>
      </c>
      <c r="I19" s="51">
        <v>0</v>
      </c>
      <c r="J19" s="51">
        <v>0</v>
      </c>
      <c r="K19" s="52">
        <v>0.05</v>
      </c>
      <c r="L19" s="52">
        <v>0</v>
      </c>
      <c r="M19" s="50">
        <v>0</v>
      </c>
      <c r="N19" s="25"/>
    </row>
    <row r="20" spans="5:14" x14ac:dyDescent="0.35">
      <c r="E20" s="54" t="s">
        <v>206</v>
      </c>
      <c r="F20" s="51">
        <v>533</v>
      </c>
      <c r="G20" s="51">
        <v>10</v>
      </c>
      <c r="H20" s="51">
        <v>7</v>
      </c>
      <c r="I20" s="51">
        <v>0</v>
      </c>
      <c r="J20" s="51">
        <v>1</v>
      </c>
      <c r="K20" s="52">
        <v>0.35</v>
      </c>
      <c r="L20" s="52">
        <v>1</v>
      </c>
      <c r="M20" s="50">
        <v>7</v>
      </c>
      <c r="N20" s="25"/>
    </row>
    <row r="21" spans="5:14" x14ac:dyDescent="0.35">
      <c r="E21" s="54" t="s">
        <v>199</v>
      </c>
      <c r="F21" s="51">
        <v>553</v>
      </c>
      <c r="G21" s="51">
        <v>6</v>
      </c>
      <c r="H21" s="51">
        <v>3</v>
      </c>
      <c r="I21" s="51">
        <v>2</v>
      </c>
      <c r="J21" s="51">
        <v>0</v>
      </c>
      <c r="K21" s="52">
        <v>0.15</v>
      </c>
      <c r="L21" s="52">
        <v>0</v>
      </c>
      <c r="M21" s="50">
        <v>0</v>
      </c>
      <c r="N21" s="25"/>
    </row>
    <row r="22" spans="5:14" x14ac:dyDescent="0.35">
      <c r="E22" s="54" t="s">
        <v>196</v>
      </c>
      <c r="F22" s="51">
        <v>0</v>
      </c>
      <c r="G22" s="51">
        <v>0</v>
      </c>
      <c r="H22" s="51">
        <v>0</v>
      </c>
      <c r="I22" s="51">
        <v>0</v>
      </c>
      <c r="J22" s="51">
        <v>0</v>
      </c>
      <c r="K22" s="52">
        <v>0</v>
      </c>
      <c r="L22" s="52">
        <v>0</v>
      </c>
      <c r="M22" s="50">
        <v>0</v>
      </c>
      <c r="N22" s="25"/>
    </row>
    <row r="23" spans="5:14" x14ac:dyDescent="0.35">
      <c r="E23" s="54" t="s">
        <v>201</v>
      </c>
      <c r="F23" s="51">
        <v>47</v>
      </c>
      <c r="G23" s="51">
        <v>1</v>
      </c>
      <c r="H23" s="51">
        <v>2</v>
      </c>
      <c r="I23" s="51">
        <v>0</v>
      </c>
      <c r="J23" s="51">
        <v>0</v>
      </c>
      <c r="K23" s="52">
        <v>0.1</v>
      </c>
      <c r="L23" s="52">
        <v>0</v>
      </c>
      <c r="M23" s="50">
        <v>0</v>
      </c>
      <c r="N23" s="25"/>
    </row>
    <row r="24" spans="5:14" x14ac:dyDescent="0.35">
      <c r="E24" s="54" t="s">
        <v>198</v>
      </c>
      <c r="F24" s="51">
        <v>511</v>
      </c>
      <c r="G24" s="51">
        <v>7</v>
      </c>
      <c r="H24" s="51">
        <v>2</v>
      </c>
      <c r="I24" s="51">
        <v>0</v>
      </c>
      <c r="J24" s="51">
        <v>0</v>
      </c>
      <c r="K24" s="52">
        <v>0.1</v>
      </c>
      <c r="L24" s="52">
        <v>0</v>
      </c>
      <c r="M24" s="50">
        <v>0</v>
      </c>
      <c r="N24" s="25"/>
    </row>
    <row r="25" spans="5:14" x14ac:dyDescent="0.35">
      <c r="E25" s="54" t="s">
        <v>193</v>
      </c>
      <c r="F25" s="51">
        <v>335</v>
      </c>
      <c r="G25" s="51">
        <v>9</v>
      </c>
      <c r="H25" s="51">
        <v>1</v>
      </c>
      <c r="I25" s="51">
        <v>0</v>
      </c>
      <c r="J25" s="51">
        <v>0</v>
      </c>
      <c r="K25" s="52">
        <v>0.05</v>
      </c>
      <c r="L25" s="52">
        <v>0</v>
      </c>
      <c r="M25" s="50">
        <v>0</v>
      </c>
      <c r="N25" s="25"/>
    </row>
    <row r="26" spans="5:14" x14ac:dyDescent="0.35">
      <c r="E26" s="54" t="s">
        <v>208</v>
      </c>
      <c r="F26" s="51">
        <v>833</v>
      </c>
      <c r="G26" s="51">
        <v>8</v>
      </c>
      <c r="H26" s="51">
        <v>3</v>
      </c>
      <c r="I26" s="51">
        <v>0</v>
      </c>
      <c r="J26" s="51">
        <v>0</v>
      </c>
      <c r="K26" s="52">
        <v>0.15</v>
      </c>
      <c r="L26" s="52">
        <v>0</v>
      </c>
      <c r="M26" s="50">
        <v>0</v>
      </c>
      <c r="N26" s="25"/>
    </row>
    <row r="27" spans="5:14" x14ac:dyDescent="0.35">
      <c r="E27" s="54" t="s">
        <v>205</v>
      </c>
      <c r="F27" s="51">
        <v>485</v>
      </c>
      <c r="G27" s="51">
        <v>8</v>
      </c>
      <c r="H27" s="51">
        <v>8</v>
      </c>
      <c r="I27" s="51">
        <v>6</v>
      </c>
      <c r="J27" s="51">
        <v>0</v>
      </c>
      <c r="K27" s="52">
        <v>0.4</v>
      </c>
      <c r="L27" s="52">
        <v>0</v>
      </c>
      <c r="M27" s="50">
        <v>0</v>
      </c>
      <c r="N27" s="25"/>
    </row>
    <row r="28" spans="5:14" x14ac:dyDescent="0.35">
      <c r="E28" s="54" t="s">
        <v>191</v>
      </c>
      <c r="F28" s="51">
        <v>541</v>
      </c>
      <c r="G28" s="51">
        <v>9</v>
      </c>
      <c r="H28" s="51">
        <v>5</v>
      </c>
      <c r="I28" s="51">
        <v>2</v>
      </c>
      <c r="J28" s="51">
        <v>0</v>
      </c>
      <c r="K28" s="52">
        <v>0.25</v>
      </c>
      <c r="L28" s="52">
        <v>0</v>
      </c>
      <c r="M28" s="50">
        <v>0</v>
      </c>
      <c r="N28" s="25"/>
    </row>
    <row r="29" spans="5:14" x14ac:dyDescent="0.35">
      <c r="E29" s="54" t="s">
        <v>207</v>
      </c>
      <c r="F29" s="51">
        <v>681</v>
      </c>
      <c r="G29" s="51">
        <v>6</v>
      </c>
      <c r="H29" s="51">
        <v>3</v>
      </c>
      <c r="I29" s="51">
        <v>0</v>
      </c>
      <c r="J29" s="51">
        <v>1</v>
      </c>
      <c r="K29" s="52">
        <v>0.15</v>
      </c>
      <c r="L29" s="52">
        <v>1</v>
      </c>
      <c r="M29" s="50">
        <v>3</v>
      </c>
      <c r="N29" s="25"/>
    </row>
    <row r="30" spans="5:14" x14ac:dyDescent="0.35">
      <c r="E30" s="54" t="s">
        <v>209</v>
      </c>
      <c r="F30" s="51">
        <v>0</v>
      </c>
      <c r="G30" s="51">
        <v>0</v>
      </c>
      <c r="H30" s="51">
        <v>0</v>
      </c>
      <c r="I30" s="51">
        <v>0</v>
      </c>
      <c r="J30" s="51">
        <v>0</v>
      </c>
      <c r="K30" s="52">
        <v>0</v>
      </c>
      <c r="L30" s="52">
        <v>0</v>
      </c>
      <c r="M30" s="50">
        <v>0</v>
      </c>
      <c r="N30" s="25"/>
    </row>
    <row r="31" spans="5:14" x14ac:dyDescent="0.35">
      <c r="E31" s="54" t="s">
        <v>197</v>
      </c>
      <c r="F31" s="51">
        <v>943</v>
      </c>
      <c r="G31" s="51">
        <v>4</v>
      </c>
      <c r="H31" s="51">
        <v>3</v>
      </c>
      <c r="I31" s="51">
        <v>0</v>
      </c>
      <c r="J31" s="51">
        <v>0</v>
      </c>
      <c r="K31" s="52">
        <v>0.15</v>
      </c>
      <c r="L31" s="52">
        <v>0</v>
      </c>
      <c r="M31" s="50">
        <v>0</v>
      </c>
      <c r="N31" s="25"/>
    </row>
    <row r="32" spans="5:14" x14ac:dyDescent="0.35">
      <c r="E32" s="54" t="s">
        <v>204</v>
      </c>
      <c r="F32" s="51">
        <v>444</v>
      </c>
      <c r="G32" s="51">
        <v>13</v>
      </c>
      <c r="H32" s="51">
        <v>9</v>
      </c>
      <c r="I32" s="51">
        <v>5</v>
      </c>
      <c r="J32" s="51">
        <v>0</v>
      </c>
      <c r="K32" s="52">
        <v>0.45</v>
      </c>
      <c r="L32" s="52">
        <v>0</v>
      </c>
      <c r="M32" s="50">
        <v>0</v>
      </c>
      <c r="N32" s="25"/>
    </row>
    <row r="33" spans="13:14" x14ac:dyDescent="0.35">
      <c r="M33"/>
      <c r="N33" s="25"/>
    </row>
    <row r="34" spans="13:14" x14ac:dyDescent="0.35">
      <c r="M34"/>
      <c r="N34" s="25"/>
    </row>
    <row r="35" spans="13:14" x14ac:dyDescent="0.35">
      <c r="M35"/>
      <c r="N35" s="25"/>
    </row>
    <row r="36" spans="13:14" x14ac:dyDescent="0.35">
      <c r="M36"/>
      <c r="N36" s="25"/>
    </row>
    <row r="37" spans="13:14" x14ac:dyDescent="0.35">
      <c r="M37"/>
      <c r="N37" s="25"/>
    </row>
    <row r="38" spans="13:14" x14ac:dyDescent="0.35">
      <c r="M38"/>
      <c r="N38" s="25"/>
    </row>
    <row r="39" spans="13:14" x14ac:dyDescent="0.35">
      <c r="M39"/>
      <c r="N39" s="25"/>
    </row>
    <row r="40" spans="13:14" x14ac:dyDescent="0.35">
      <c r="M40"/>
      <c r="N40" s="25"/>
    </row>
    <row r="41" spans="13:14" x14ac:dyDescent="0.35">
      <c r="M41"/>
      <c r="N41" s="25"/>
    </row>
    <row r="42" spans="13:14" x14ac:dyDescent="0.35">
      <c r="M42"/>
      <c r="N42" s="25"/>
    </row>
    <row r="43" spans="13:14" x14ac:dyDescent="0.35">
      <c r="M43"/>
      <c r="N43" s="25"/>
    </row>
    <row r="44" spans="13:14" x14ac:dyDescent="0.35">
      <c r="M44"/>
      <c r="N44" s="25"/>
    </row>
    <row r="45" spans="13:14" x14ac:dyDescent="0.35">
      <c r="M45"/>
      <c r="N45" s="25"/>
    </row>
    <row r="46" spans="13:14" x14ac:dyDescent="0.35">
      <c r="M46"/>
      <c r="N46" s="25"/>
    </row>
    <row r="47" spans="13:14" x14ac:dyDescent="0.35">
      <c r="M47"/>
      <c r="N47" s="25"/>
    </row>
    <row r="48" spans="13:14" x14ac:dyDescent="0.35">
      <c r="M48"/>
      <c r="N48" s="25"/>
    </row>
    <row r="49" spans="13:14" x14ac:dyDescent="0.35">
      <c r="M49"/>
      <c r="N49" s="25"/>
    </row>
    <row r="50" spans="13:14" x14ac:dyDescent="0.35">
      <c r="M50"/>
      <c r="N50" s="25"/>
    </row>
    <row r="51" spans="13:14" x14ac:dyDescent="0.35">
      <c r="M51"/>
      <c r="N51" s="25"/>
    </row>
    <row r="52" spans="13:14" x14ac:dyDescent="0.35">
      <c r="M52"/>
      <c r="N52" s="25"/>
    </row>
    <row r="53" spans="13:14" x14ac:dyDescent="0.35">
      <c r="M53"/>
      <c r="N53" s="25"/>
    </row>
    <row r="54" spans="13:14" x14ac:dyDescent="0.35">
      <c r="M54"/>
      <c r="N54" s="25"/>
    </row>
    <row r="55" spans="13:14" x14ac:dyDescent="0.35">
      <c r="M55"/>
      <c r="N55" s="25"/>
    </row>
    <row r="56" spans="13:14" x14ac:dyDescent="0.35">
      <c r="M56"/>
      <c r="N56" s="25"/>
    </row>
    <row r="57" spans="13:14" x14ac:dyDescent="0.35">
      <c r="M57"/>
      <c r="N57" s="25"/>
    </row>
    <row r="58" spans="13:14" x14ac:dyDescent="0.35">
      <c r="M58"/>
      <c r="N58" s="25"/>
    </row>
    <row r="59" spans="13:14" x14ac:dyDescent="0.35">
      <c r="M59"/>
      <c r="N59" s="25"/>
    </row>
    <row r="60" spans="13:14" x14ac:dyDescent="0.35">
      <c r="M60"/>
      <c r="N60" s="25"/>
    </row>
    <row r="61" spans="13:14" x14ac:dyDescent="0.35">
      <c r="M61"/>
      <c r="N61" s="25"/>
    </row>
    <row r="62" spans="13:14" x14ac:dyDescent="0.35">
      <c r="M62"/>
      <c r="N62" s="25"/>
    </row>
    <row r="63" spans="13:14" x14ac:dyDescent="0.35">
      <c r="M63"/>
      <c r="N63" s="25"/>
    </row>
    <row r="64" spans="13:14" x14ac:dyDescent="0.35">
      <c r="M64"/>
      <c r="N64" s="25"/>
    </row>
    <row r="65" spans="13:14" x14ac:dyDescent="0.35">
      <c r="M65"/>
      <c r="N65" s="25"/>
    </row>
    <row r="66" spans="13:14" x14ac:dyDescent="0.35">
      <c r="M66"/>
      <c r="N66" s="25"/>
    </row>
    <row r="67" spans="13:14" x14ac:dyDescent="0.35">
      <c r="M67"/>
      <c r="N67" s="25"/>
    </row>
    <row r="68" spans="13:14" x14ac:dyDescent="0.35">
      <c r="M68"/>
      <c r="N68" s="25"/>
    </row>
    <row r="69" spans="13:14" x14ac:dyDescent="0.35">
      <c r="M69"/>
      <c r="N69" s="25"/>
    </row>
    <row r="70" spans="13:14" x14ac:dyDescent="0.35">
      <c r="M70"/>
      <c r="N70" s="25"/>
    </row>
    <row r="71" spans="13:14" x14ac:dyDescent="0.35">
      <c r="M71"/>
      <c r="N71" s="25"/>
    </row>
    <row r="72" spans="13:14" x14ac:dyDescent="0.35">
      <c r="M72"/>
      <c r="N72" s="25"/>
    </row>
    <row r="73" spans="13:14" x14ac:dyDescent="0.35">
      <c r="M73"/>
      <c r="N73" s="25"/>
    </row>
    <row r="74" spans="13:14" x14ac:dyDescent="0.35">
      <c r="M74"/>
      <c r="N74" s="25"/>
    </row>
    <row r="75" spans="13:14" x14ac:dyDescent="0.35">
      <c r="M75"/>
      <c r="N75" s="25"/>
    </row>
    <row r="76" spans="13:14" x14ac:dyDescent="0.35">
      <c r="M76"/>
      <c r="N76" s="25"/>
    </row>
    <row r="77" spans="13:14" x14ac:dyDescent="0.35">
      <c r="M77"/>
      <c r="N77" s="25"/>
    </row>
    <row r="78" spans="13:14" x14ac:dyDescent="0.35">
      <c r="M78"/>
      <c r="N78" s="25"/>
    </row>
    <row r="79" spans="13:14" x14ac:dyDescent="0.35">
      <c r="M79"/>
      <c r="N79" s="25"/>
    </row>
    <row r="80" spans="13:14" x14ac:dyDescent="0.35">
      <c r="M80"/>
      <c r="N80" s="25"/>
    </row>
    <row r="81" spans="13:14" x14ac:dyDescent="0.35">
      <c r="M81"/>
      <c r="N81" s="25"/>
    </row>
    <row r="82" spans="13:14" x14ac:dyDescent="0.35">
      <c r="M82"/>
      <c r="N82" s="25"/>
    </row>
    <row r="83" spans="13:14" x14ac:dyDescent="0.35">
      <c r="M83"/>
      <c r="N83" s="25"/>
    </row>
    <row r="84" spans="13:14" x14ac:dyDescent="0.35">
      <c r="M84"/>
      <c r="N84" s="25"/>
    </row>
    <row r="85" spans="13:14" x14ac:dyDescent="0.35">
      <c r="M85"/>
      <c r="N85" s="25"/>
    </row>
    <row r="86" spans="13:14" x14ac:dyDescent="0.35">
      <c r="M86"/>
      <c r="N86" s="25"/>
    </row>
    <row r="87" spans="13:14" x14ac:dyDescent="0.35">
      <c r="M87"/>
      <c r="N87" s="25"/>
    </row>
    <row r="88" spans="13:14" x14ac:dyDescent="0.35">
      <c r="M88"/>
      <c r="N88" s="25"/>
    </row>
    <row r="89" spans="13:14" x14ac:dyDescent="0.35">
      <c r="M89"/>
      <c r="N89" s="25"/>
    </row>
    <row r="90" spans="13:14" x14ac:dyDescent="0.35">
      <c r="M90"/>
      <c r="N90" s="25"/>
    </row>
    <row r="91" spans="13:14" x14ac:dyDescent="0.35">
      <c r="M91"/>
      <c r="N91" s="25"/>
    </row>
    <row r="92" spans="13:14" x14ac:dyDescent="0.35">
      <c r="M92"/>
      <c r="N92" s="25"/>
    </row>
    <row r="93" spans="13:14" x14ac:dyDescent="0.35">
      <c r="M93"/>
      <c r="N93" s="25"/>
    </row>
    <row r="94" spans="13:14" x14ac:dyDescent="0.35">
      <c r="M94"/>
      <c r="N94" s="25"/>
    </row>
    <row r="95" spans="13:14" x14ac:dyDescent="0.35">
      <c r="M95"/>
      <c r="N95" s="25"/>
    </row>
    <row r="96" spans="13:14" x14ac:dyDescent="0.35">
      <c r="M96"/>
      <c r="N96" s="25"/>
    </row>
    <row r="97" spans="13:14" x14ac:dyDescent="0.35">
      <c r="M97"/>
      <c r="N97" s="25"/>
    </row>
    <row r="98" spans="13:14" x14ac:dyDescent="0.35">
      <c r="M98"/>
      <c r="N98" s="25"/>
    </row>
    <row r="99" spans="13:14" x14ac:dyDescent="0.35">
      <c r="M99"/>
      <c r="N99" s="25"/>
    </row>
    <row r="100" spans="13:14" x14ac:dyDescent="0.35">
      <c r="M100"/>
      <c r="N100" s="25"/>
    </row>
    <row r="101" spans="13:14" x14ac:dyDescent="0.35">
      <c r="M101"/>
      <c r="N101" s="25"/>
    </row>
    <row r="102" spans="13:14" x14ac:dyDescent="0.35">
      <c r="M102"/>
      <c r="N102" s="25"/>
    </row>
    <row r="103" spans="13:14" x14ac:dyDescent="0.35">
      <c r="M103"/>
      <c r="N103" s="25"/>
    </row>
    <row r="104" spans="13:14" x14ac:dyDescent="0.35">
      <c r="M104"/>
      <c r="N104" s="25"/>
    </row>
    <row r="105" spans="13:14" x14ac:dyDescent="0.35">
      <c r="M105"/>
      <c r="N105" s="25"/>
    </row>
    <row r="106" spans="13:14" x14ac:dyDescent="0.35">
      <c r="M106"/>
      <c r="N106" s="25"/>
    </row>
    <row r="107" spans="13:14" x14ac:dyDescent="0.35">
      <c r="M107"/>
      <c r="N107" s="25"/>
    </row>
    <row r="108" spans="13:14" x14ac:dyDescent="0.35">
      <c r="M108"/>
      <c r="N108" s="25"/>
    </row>
    <row r="109" spans="13:14" x14ac:dyDescent="0.35">
      <c r="M109"/>
      <c r="N109" s="25"/>
    </row>
    <row r="110" spans="13:14" x14ac:dyDescent="0.35">
      <c r="M110"/>
      <c r="N110" s="25"/>
    </row>
    <row r="111" spans="13:14" x14ac:dyDescent="0.35">
      <c r="M111"/>
      <c r="N111" s="25"/>
    </row>
    <row r="112" spans="13:14" x14ac:dyDescent="0.35">
      <c r="M112"/>
      <c r="N112" s="25"/>
    </row>
    <row r="113" spans="13:14" x14ac:dyDescent="0.35">
      <c r="M113"/>
      <c r="N113" s="25"/>
    </row>
    <row r="114" spans="13:14" x14ac:dyDescent="0.35">
      <c r="M114"/>
      <c r="N114" s="25"/>
    </row>
    <row r="115" spans="13:14" x14ac:dyDescent="0.35">
      <c r="M115"/>
      <c r="N115" s="25"/>
    </row>
    <row r="116" spans="13:14" x14ac:dyDescent="0.35">
      <c r="M116"/>
      <c r="N116" s="25"/>
    </row>
    <row r="117" spans="13:14" x14ac:dyDescent="0.35">
      <c r="M117"/>
      <c r="N117" s="25"/>
    </row>
    <row r="118" spans="13:14" x14ac:dyDescent="0.35">
      <c r="M118"/>
      <c r="N118" s="25"/>
    </row>
    <row r="119" spans="13:14" x14ac:dyDescent="0.35">
      <c r="M119"/>
      <c r="N119" s="25"/>
    </row>
    <row r="120" spans="13:14" x14ac:dyDescent="0.35">
      <c r="M120"/>
      <c r="N120" s="25"/>
    </row>
    <row r="121" spans="13:14" x14ac:dyDescent="0.35">
      <c r="M121"/>
      <c r="N121" s="25"/>
    </row>
    <row r="122" spans="13:14" x14ac:dyDescent="0.35">
      <c r="M122"/>
      <c r="N122" s="25"/>
    </row>
    <row r="123" spans="13:14" x14ac:dyDescent="0.35">
      <c r="M123"/>
      <c r="N123" s="25"/>
    </row>
    <row r="124" spans="13:14" x14ac:dyDescent="0.35">
      <c r="M124"/>
      <c r="N124" s="25"/>
    </row>
    <row r="125" spans="13:14" x14ac:dyDescent="0.35">
      <c r="M125"/>
      <c r="N125" s="25"/>
    </row>
    <row r="126" spans="13:14" x14ac:dyDescent="0.35">
      <c r="M126"/>
      <c r="N126" s="25"/>
    </row>
    <row r="127" spans="13:14" x14ac:dyDescent="0.35">
      <c r="M127"/>
      <c r="N127" s="25"/>
    </row>
    <row r="128" spans="13:14" x14ac:dyDescent="0.35">
      <c r="M128"/>
      <c r="N128" s="25"/>
    </row>
    <row r="129" spans="13:14" x14ac:dyDescent="0.35">
      <c r="M129"/>
      <c r="N129" s="25"/>
    </row>
    <row r="130" spans="13:14" x14ac:dyDescent="0.35">
      <c r="M130"/>
      <c r="N130" s="25"/>
    </row>
    <row r="131" spans="13:14" x14ac:dyDescent="0.35">
      <c r="M131"/>
      <c r="N131" s="25"/>
    </row>
    <row r="132" spans="13:14" x14ac:dyDescent="0.35">
      <c r="M132"/>
      <c r="N132" s="25"/>
    </row>
    <row r="133" spans="13:14" x14ac:dyDescent="0.35">
      <c r="M133"/>
      <c r="N133" s="25"/>
    </row>
    <row r="134" spans="13:14" x14ac:dyDescent="0.35">
      <c r="M134"/>
      <c r="N134" s="25"/>
    </row>
    <row r="135" spans="13:14" x14ac:dyDescent="0.35">
      <c r="M135"/>
      <c r="N135" s="25"/>
    </row>
    <row r="136" spans="13:14" x14ac:dyDescent="0.35">
      <c r="M136"/>
      <c r="N136" s="25"/>
    </row>
    <row r="137" spans="13:14" x14ac:dyDescent="0.35">
      <c r="M137"/>
      <c r="N137" s="25"/>
    </row>
    <row r="138" spans="13:14" x14ac:dyDescent="0.35">
      <c r="M138"/>
      <c r="N138" s="25"/>
    </row>
    <row r="139" spans="13:14" x14ac:dyDescent="0.35">
      <c r="M139"/>
      <c r="N139" s="25"/>
    </row>
    <row r="140" spans="13:14" x14ac:dyDescent="0.35">
      <c r="M140"/>
      <c r="N140" s="25"/>
    </row>
    <row r="141" spans="13:14" x14ac:dyDescent="0.35">
      <c r="M141"/>
      <c r="N141" s="25"/>
    </row>
    <row r="142" spans="13:14" x14ac:dyDescent="0.35">
      <c r="M142"/>
      <c r="N142" s="25"/>
    </row>
    <row r="143" spans="13:14" x14ac:dyDescent="0.35">
      <c r="M143"/>
      <c r="N143" s="25"/>
    </row>
    <row r="144" spans="13:14" x14ac:dyDescent="0.35">
      <c r="M144"/>
      <c r="N144" s="25"/>
    </row>
    <row r="145" spans="13:14" x14ac:dyDescent="0.35">
      <c r="M145"/>
      <c r="N145" s="25"/>
    </row>
    <row r="146" spans="13:14" x14ac:dyDescent="0.35">
      <c r="M146"/>
      <c r="N146" s="25"/>
    </row>
    <row r="147" spans="13:14" x14ac:dyDescent="0.35">
      <c r="M147"/>
      <c r="N147" s="25"/>
    </row>
    <row r="148" spans="13:14" x14ac:dyDescent="0.35">
      <c r="M148"/>
      <c r="N148" s="25"/>
    </row>
    <row r="149" spans="13:14" x14ac:dyDescent="0.35">
      <c r="M149"/>
      <c r="N149" s="25"/>
    </row>
    <row r="150" spans="13:14" x14ac:dyDescent="0.35">
      <c r="M150"/>
      <c r="N150" s="25"/>
    </row>
    <row r="151" spans="13:14" x14ac:dyDescent="0.35">
      <c r="M151"/>
      <c r="N151" s="25"/>
    </row>
    <row r="152" spans="13:14" x14ac:dyDescent="0.35">
      <c r="M152"/>
      <c r="N152" s="25"/>
    </row>
    <row r="153" spans="13:14" x14ac:dyDescent="0.35">
      <c r="M153"/>
      <c r="N153" s="25"/>
    </row>
    <row r="154" spans="13:14" x14ac:dyDescent="0.35">
      <c r="M154"/>
      <c r="N154" s="25"/>
    </row>
    <row r="155" spans="13:14" x14ac:dyDescent="0.35">
      <c r="M155"/>
      <c r="N155" s="25"/>
    </row>
    <row r="156" spans="13:14" x14ac:dyDescent="0.35">
      <c r="M156"/>
      <c r="N156" s="25"/>
    </row>
    <row r="157" spans="13:14" x14ac:dyDescent="0.35">
      <c r="M157"/>
      <c r="N157" s="25"/>
    </row>
    <row r="158" spans="13:14" x14ac:dyDescent="0.35">
      <c r="M158"/>
      <c r="N158" s="25"/>
    </row>
    <row r="159" spans="13:14" x14ac:dyDescent="0.35">
      <c r="M159"/>
      <c r="N159" s="25"/>
    </row>
    <row r="160" spans="13:14" x14ac:dyDescent="0.35">
      <c r="M160"/>
      <c r="N160" s="25"/>
    </row>
    <row r="161" spans="13:14" x14ac:dyDescent="0.35">
      <c r="M161"/>
      <c r="N161" s="25"/>
    </row>
    <row r="162" spans="13:14" x14ac:dyDescent="0.35">
      <c r="M162"/>
      <c r="N162" s="25"/>
    </row>
    <row r="163" spans="13:14" x14ac:dyDescent="0.35">
      <c r="M163"/>
      <c r="N163" s="25"/>
    </row>
    <row r="164" spans="13:14" x14ac:dyDescent="0.35">
      <c r="M164"/>
      <c r="N164" s="25"/>
    </row>
    <row r="165" spans="13:14" x14ac:dyDescent="0.35">
      <c r="M165"/>
      <c r="N165" s="25"/>
    </row>
    <row r="166" spans="13:14" x14ac:dyDescent="0.35">
      <c r="M166"/>
      <c r="N166" s="25"/>
    </row>
    <row r="167" spans="13:14" x14ac:dyDescent="0.35">
      <c r="M167"/>
      <c r="N167" s="25"/>
    </row>
    <row r="168" spans="13:14" x14ac:dyDescent="0.35">
      <c r="M168"/>
      <c r="N168" s="25"/>
    </row>
    <row r="169" spans="13:14" x14ac:dyDescent="0.35">
      <c r="M169"/>
      <c r="N169" s="25"/>
    </row>
    <row r="170" spans="13:14" x14ac:dyDescent="0.35">
      <c r="M170"/>
      <c r="N170" s="25"/>
    </row>
    <row r="171" spans="13:14" x14ac:dyDescent="0.35">
      <c r="M171"/>
      <c r="N171" s="25"/>
    </row>
    <row r="172" spans="13:14" x14ac:dyDescent="0.35">
      <c r="M172"/>
      <c r="N172" s="25"/>
    </row>
    <row r="173" spans="13:14" x14ac:dyDescent="0.35">
      <c r="M173"/>
      <c r="N173" s="25"/>
    </row>
    <row r="174" spans="13:14" x14ac:dyDescent="0.35">
      <c r="M174"/>
      <c r="N174" s="25"/>
    </row>
    <row r="175" spans="13:14" x14ac:dyDescent="0.35">
      <c r="M175"/>
      <c r="N175" s="25"/>
    </row>
    <row r="176" spans="13:14" x14ac:dyDescent="0.35">
      <c r="M176"/>
      <c r="N176" s="25"/>
    </row>
    <row r="177" spans="13:14" x14ac:dyDescent="0.35">
      <c r="M177"/>
      <c r="N177" s="25"/>
    </row>
    <row r="178" spans="13:14" x14ac:dyDescent="0.35">
      <c r="M178"/>
      <c r="N178" s="25"/>
    </row>
    <row r="179" spans="13:14" x14ac:dyDescent="0.35">
      <c r="M179"/>
      <c r="N179" s="25"/>
    </row>
    <row r="180" spans="13:14" x14ac:dyDescent="0.35">
      <c r="M180"/>
      <c r="N180" s="25"/>
    </row>
    <row r="181" spans="13:14" x14ac:dyDescent="0.35">
      <c r="M181"/>
      <c r="N181" s="25"/>
    </row>
    <row r="182" spans="13:14" x14ac:dyDescent="0.35">
      <c r="M182"/>
      <c r="N182" s="25"/>
    </row>
    <row r="183" spans="13:14" x14ac:dyDescent="0.35">
      <c r="M183"/>
      <c r="N183" s="25"/>
    </row>
    <row r="184" spans="13:14" x14ac:dyDescent="0.35">
      <c r="M184"/>
      <c r="N184" s="25"/>
    </row>
    <row r="185" spans="13:14" x14ac:dyDescent="0.35">
      <c r="M185"/>
      <c r="N185" s="25"/>
    </row>
    <row r="186" spans="13:14" x14ac:dyDescent="0.35">
      <c r="M186"/>
      <c r="N186" s="25"/>
    </row>
    <row r="187" spans="13:14" x14ac:dyDescent="0.35">
      <c r="M187"/>
      <c r="N187" s="25"/>
    </row>
    <row r="188" spans="13:14" x14ac:dyDescent="0.35">
      <c r="M188"/>
      <c r="N188" s="25"/>
    </row>
    <row r="189" spans="13:14" x14ac:dyDescent="0.35">
      <c r="M189"/>
      <c r="N189" s="25"/>
    </row>
    <row r="190" spans="13:14" x14ac:dyDescent="0.35">
      <c r="M190"/>
      <c r="N190" s="25"/>
    </row>
    <row r="191" spans="13:14" x14ac:dyDescent="0.35">
      <c r="M191"/>
      <c r="N191" s="25"/>
    </row>
    <row r="192" spans="13:14" x14ac:dyDescent="0.35">
      <c r="M192"/>
      <c r="N192" s="25"/>
    </row>
    <row r="193" spans="13:14" x14ac:dyDescent="0.35">
      <c r="M193"/>
      <c r="N193" s="25"/>
    </row>
    <row r="194" spans="13:14" x14ac:dyDescent="0.35">
      <c r="M194"/>
      <c r="N194" s="25"/>
    </row>
    <row r="195" spans="13:14" x14ac:dyDescent="0.35">
      <c r="M195"/>
      <c r="N195" s="25"/>
    </row>
    <row r="196" spans="13:14" x14ac:dyDescent="0.35">
      <c r="M196"/>
      <c r="N196" s="25"/>
    </row>
    <row r="197" spans="13:14" x14ac:dyDescent="0.35">
      <c r="M197"/>
      <c r="N197" s="25"/>
    </row>
    <row r="198" spans="13:14" x14ac:dyDescent="0.35">
      <c r="M198"/>
      <c r="N198" s="25"/>
    </row>
    <row r="199" spans="13:14" x14ac:dyDescent="0.35">
      <c r="M199"/>
      <c r="N199" s="25"/>
    </row>
    <row r="200" spans="13:14" x14ac:dyDescent="0.35">
      <c r="M200"/>
      <c r="N200" s="25"/>
    </row>
    <row r="201" spans="13:14" x14ac:dyDescent="0.35">
      <c r="M201"/>
      <c r="N201" s="25"/>
    </row>
    <row r="202" spans="13:14" x14ac:dyDescent="0.35">
      <c r="M202"/>
      <c r="N202" s="25"/>
    </row>
    <row r="203" spans="13:14" x14ac:dyDescent="0.35">
      <c r="M203"/>
      <c r="N203" s="25"/>
    </row>
    <row r="204" spans="13:14" x14ac:dyDescent="0.35">
      <c r="M204"/>
      <c r="N204" s="25"/>
    </row>
    <row r="205" spans="13:14" x14ac:dyDescent="0.35">
      <c r="M205"/>
      <c r="N205" s="25"/>
    </row>
    <row r="206" spans="13:14" x14ac:dyDescent="0.35">
      <c r="M206"/>
      <c r="N206" s="25"/>
    </row>
    <row r="207" spans="13:14" x14ac:dyDescent="0.35">
      <c r="M207"/>
      <c r="N207" s="25"/>
    </row>
    <row r="208" spans="13:14" x14ac:dyDescent="0.35">
      <c r="M208"/>
      <c r="N208" s="25"/>
    </row>
    <row r="209" spans="13:14" x14ac:dyDescent="0.35">
      <c r="M209"/>
      <c r="N209" s="25"/>
    </row>
    <row r="210" spans="13:14" x14ac:dyDescent="0.35">
      <c r="M210"/>
      <c r="N210" s="25"/>
    </row>
    <row r="211" spans="13:14" x14ac:dyDescent="0.35">
      <c r="M211"/>
      <c r="N211" s="25"/>
    </row>
    <row r="212" spans="13:14" x14ac:dyDescent="0.35">
      <c r="M212"/>
      <c r="N212" s="25"/>
    </row>
    <row r="213" spans="13:14" x14ac:dyDescent="0.35">
      <c r="M213"/>
      <c r="N213" s="25"/>
    </row>
    <row r="214" spans="13:14" x14ac:dyDescent="0.35">
      <c r="M214"/>
      <c r="N214" s="25"/>
    </row>
    <row r="215" spans="13:14" x14ac:dyDescent="0.35">
      <c r="M215"/>
      <c r="N215" s="25"/>
    </row>
    <row r="216" spans="13:14" x14ac:dyDescent="0.35">
      <c r="M216"/>
      <c r="N216" s="25"/>
    </row>
    <row r="217" spans="13:14" x14ac:dyDescent="0.35">
      <c r="M217"/>
      <c r="N217" s="25"/>
    </row>
    <row r="218" spans="13:14" x14ac:dyDescent="0.35">
      <c r="M218"/>
      <c r="N218" s="25"/>
    </row>
    <row r="219" spans="13:14" x14ac:dyDescent="0.35">
      <c r="M219"/>
      <c r="N219" s="25"/>
    </row>
    <row r="220" spans="13:14" x14ac:dyDescent="0.35">
      <c r="M220"/>
      <c r="N220" s="25"/>
    </row>
    <row r="221" spans="13:14" x14ac:dyDescent="0.35">
      <c r="M221"/>
      <c r="N221" s="25"/>
    </row>
    <row r="222" spans="13:14" x14ac:dyDescent="0.35">
      <c r="M222"/>
      <c r="N222" s="25"/>
    </row>
    <row r="223" spans="13:14" x14ac:dyDescent="0.35">
      <c r="M223"/>
      <c r="N223" s="25"/>
    </row>
    <row r="224" spans="13:14" x14ac:dyDescent="0.35">
      <c r="M224"/>
      <c r="N224" s="25"/>
    </row>
    <row r="225" spans="13:14" x14ac:dyDescent="0.35">
      <c r="M225"/>
      <c r="N225" s="25"/>
    </row>
    <row r="226" spans="13:14" x14ac:dyDescent="0.35">
      <c r="M226"/>
      <c r="N226" s="25"/>
    </row>
    <row r="227" spans="13:14" x14ac:dyDescent="0.35">
      <c r="M227"/>
      <c r="N227" s="25"/>
    </row>
    <row r="228" spans="13:14" x14ac:dyDescent="0.35">
      <c r="M228"/>
      <c r="N228" s="25"/>
    </row>
    <row r="229" spans="13:14" x14ac:dyDescent="0.35">
      <c r="M229"/>
      <c r="N229" s="25"/>
    </row>
    <row r="230" spans="13:14" x14ac:dyDescent="0.35">
      <c r="M230"/>
      <c r="N230" s="25"/>
    </row>
    <row r="231" spans="13:14" x14ac:dyDescent="0.35">
      <c r="M231"/>
      <c r="N231" s="25"/>
    </row>
    <row r="232" spans="13:14" x14ac:dyDescent="0.35">
      <c r="M232"/>
      <c r="N232" s="25"/>
    </row>
    <row r="233" spans="13:14" x14ac:dyDescent="0.35">
      <c r="M233"/>
      <c r="N233" s="25"/>
    </row>
    <row r="234" spans="13:14" x14ac:dyDescent="0.35">
      <c r="M234"/>
      <c r="N234" s="25"/>
    </row>
    <row r="235" spans="13:14" x14ac:dyDescent="0.35">
      <c r="M235"/>
      <c r="N235" s="25"/>
    </row>
    <row r="236" spans="13:14" x14ac:dyDescent="0.35">
      <c r="M236"/>
      <c r="N236" s="25"/>
    </row>
    <row r="237" spans="13:14" x14ac:dyDescent="0.35">
      <c r="M237"/>
      <c r="N237" s="25"/>
    </row>
    <row r="238" spans="13:14" x14ac:dyDescent="0.35">
      <c r="M238"/>
      <c r="N238" s="25"/>
    </row>
    <row r="239" spans="13:14" x14ac:dyDescent="0.35">
      <c r="M239"/>
      <c r="N239" s="25"/>
    </row>
    <row r="240" spans="13:14" x14ac:dyDescent="0.35">
      <c r="M240"/>
      <c r="N240" s="25"/>
    </row>
    <row r="241" spans="13:14" x14ac:dyDescent="0.35">
      <c r="M241"/>
      <c r="N241" s="25"/>
    </row>
    <row r="242" spans="13:14" x14ac:dyDescent="0.35">
      <c r="M242"/>
      <c r="N242" s="25"/>
    </row>
    <row r="243" spans="13:14" x14ac:dyDescent="0.35">
      <c r="M243"/>
      <c r="N243" s="25"/>
    </row>
    <row r="244" spans="13:14" x14ac:dyDescent="0.35">
      <c r="M244"/>
      <c r="N244" s="25"/>
    </row>
    <row r="245" spans="13:14" x14ac:dyDescent="0.35">
      <c r="M245"/>
      <c r="N245" s="25"/>
    </row>
    <row r="246" spans="13:14" x14ac:dyDescent="0.35">
      <c r="M246"/>
      <c r="N246" s="25"/>
    </row>
    <row r="247" spans="13:14" x14ac:dyDescent="0.35">
      <c r="M247"/>
      <c r="N247" s="25"/>
    </row>
    <row r="248" spans="13:14" x14ac:dyDescent="0.35">
      <c r="M248"/>
      <c r="N248" s="25"/>
    </row>
    <row r="249" spans="13:14" x14ac:dyDescent="0.35">
      <c r="M249"/>
      <c r="N249" s="25"/>
    </row>
    <row r="250" spans="13:14" x14ac:dyDescent="0.35">
      <c r="M250"/>
      <c r="N250" s="25"/>
    </row>
    <row r="251" spans="13:14" x14ac:dyDescent="0.35">
      <c r="M251"/>
      <c r="N251" s="25"/>
    </row>
    <row r="252" spans="13:14" x14ac:dyDescent="0.35">
      <c r="M252"/>
      <c r="N252" s="25"/>
    </row>
    <row r="253" spans="13:14" x14ac:dyDescent="0.35">
      <c r="M253"/>
      <c r="N253" s="25"/>
    </row>
    <row r="254" spans="13:14" x14ac:dyDescent="0.35">
      <c r="M254"/>
      <c r="N254" s="25"/>
    </row>
    <row r="255" spans="13:14" x14ac:dyDescent="0.35">
      <c r="M255"/>
      <c r="N255" s="25"/>
    </row>
    <row r="256" spans="13:14" x14ac:dyDescent="0.35">
      <c r="M256"/>
      <c r="N256" s="25"/>
    </row>
    <row r="257" spans="13:14" x14ac:dyDescent="0.35">
      <c r="M257"/>
      <c r="N257" s="25"/>
    </row>
    <row r="258" spans="13:14" x14ac:dyDescent="0.35">
      <c r="M258"/>
      <c r="N258" s="25"/>
    </row>
    <row r="259" spans="13:14" x14ac:dyDescent="0.35">
      <c r="M259"/>
      <c r="N259" s="25"/>
    </row>
    <row r="260" spans="13:14" x14ac:dyDescent="0.35">
      <c r="M260"/>
      <c r="N260" s="25"/>
    </row>
    <row r="261" spans="13:14" x14ac:dyDescent="0.35">
      <c r="M261"/>
      <c r="N261" s="25"/>
    </row>
    <row r="262" spans="13:14" x14ac:dyDescent="0.35">
      <c r="M262"/>
      <c r="N262" s="25"/>
    </row>
    <row r="263" spans="13:14" x14ac:dyDescent="0.35">
      <c r="M263"/>
      <c r="N263" s="25"/>
    </row>
    <row r="264" spans="13:14" x14ac:dyDescent="0.35">
      <c r="M264"/>
      <c r="N264" s="25"/>
    </row>
    <row r="265" spans="13:14" x14ac:dyDescent="0.35">
      <c r="M265"/>
      <c r="N265" s="25"/>
    </row>
    <row r="266" spans="13:14" x14ac:dyDescent="0.35">
      <c r="M266"/>
      <c r="N266" s="25"/>
    </row>
    <row r="267" spans="13:14" x14ac:dyDescent="0.35">
      <c r="M267"/>
      <c r="N267" s="25"/>
    </row>
    <row r="268" spans="13:14" x14ac:dyDescent="0.35">
      <c r="M268"/>
      <c r="N268" s="25"/>
    </row>
    <row r="269" spans="13:14" x14ac:dyDescent="0.35">
      <c r="M269"/>
      <c r="N269" s="25"/>
    </row>
    <row r="270" spans="13:14" x14ac:dyDescent="0.35">
      <c r="M270"/>
      <c r="N270" s="25"/>
    </row>
    <row r="271" spans="13:14" x14ac:dyDescent="0.35">
      <c r="M271"/>
      <c r="N271" s="25"/>
    </row>
    <row r="272" spans="13:14" x14ac:dyDescent="0.35">
      <c r="M272"/>
      <c r="N272" s="25"/>
    </row>
    <row r="273" spans="13:14" x14ac:dyDescent="0.35">
      <c r="M273"/>
      <c r="N273" s="25"/>
    </row>
    <row r="274" spans="13:14" x14ac:dyDescent="0.35">
      <c r="M274"/>
      <c r="N274" s="25"/>
    </row>
    <row r="275" spans="13:14" x14ac:dyDescent="0.35">
      <c r="M275"/>
      <c r="N275" s="25"/>
    </row>
    <row r="276" spans="13:14" x14ac:dyDescent="0.35">
      <c r="M276"/>
      <c r="N276" s="25"/>
    </row>
    <row r="277" spans="13:14" x14ac:dyDescent="0.35">
      <c r="M277"/>
      <c r="N277" s="25"/>
    </row>
    <row r="278" spans="13:14" x14ac:dyDescent="0.35">
      <c r="M278"/>
      <c r="N278" s="25"/>
    </row>
    <row r="279" spans="13:14" x14ac:dyDescent="0.35">
      <c r="M279"/>
      <c r="N279" s="25"/>
    </row>
    <row r="280" spans="13:14" x14ac:dyDescent="0.35">
      <c r="M280"/>
      <c r="N280" s="25"/>
    </row>
    <row r="281" spans="13:14" x14ac:dyDescent="0.35">
      <c r="M281"/>
      <c r="N281" s="25"/>
    </row>
    <row r="282" spans="13:14" x14ac:dyDescent="0.35">
      <c r="M282"/>
      <c r="N282" s="25"/>
    </row>
    <row r="283" spans="13:14" x14ac:dyDescent="0.35">
      <c r="M283"/>
      <c r="N283" s="25"/>
    </row>
    <row r="284" spans="13:14" x14ac:dyDescent="0.35">
      <c r="M284"/>
      <c r="N284" s="25"/>
    </row>
    <row r="285" spans="13:14" x14ac:dyDescent="0.35">
      <c r="M285"/>
      <c r="N285" s="25"/>
    </row>
    <row r="286" spans="13:14" x14ac:dyDescent="0.35">
      <c r="M286"/>
      <c r="N286" s="25"/>
    </row>
    <row r="287" spans="13:14" x14ac:dyDescent="0.35">
      <c r="M287"/>
      <c r="N287" s="25"/>
    </row>
    <row r="288" spans="13:14" x14ac:dyDescent="0.35">
      <c r="M288"/>
      <c r="N288" s="25"/>
    </row>
    <row r="289" spans="13:14" x14ac:dyDescent="0.35">
      <c r="M289"/>
      <c r="N289" s="25"/>
    </row>
    <row r="290" spans="13:14" x14ac:dyDescent="0.35">
      <c r="M290"/>
      <c r="N290" s="25"/>
    </row>
    <row r="291" spans="13:14" x14ac:dyDescent="0.35">
      <c r="M291"/>
      <c r="N291" s="25"/>
    </row>
    <row r="292" spans="13:14" x14ac:dyDescent="0.35">
      <c r="M292"/>
      <c r="N292" s="25"/>
    </row>
    <row r="293" spans="13:14" x14ac:dyDescent="0.35">
      <c r="M293"/>
      <c r="N293" s="25"/>
    </row>
    <row r="294" spans="13:14" x14ac:dyDescent="0.35">
      <c r="M294"/>
      <c r="N294" s="25"/>
    </row>
    <row r="295" spans="13:14" x14ac:dyDescent="0.35">
      <c r="M295"/>
      <c r="N295" s="25"/>
    </row>
    <row r="296" spans="13:14" x14ac:dyDescent="0.35">
      <c r="M296"/>
      <c r="N296" s="25"/>
    </row>
    <row r="297" spans="13:14" x14ac:dyDescent="0.35">
      <c r="M297"/>
      <c r="N297" s="25"/>
    </row>
    <row r="298" spans="13:14" x14ac:dyDescent="0.35">
      <c r="M298"/>
      <c r="N298" s="25"/>
    </row>
    <row r="299" spans="13:14" x14ac:dyDescent="0.35">
      <c r="M299"/>
      <c r="N299" s="25"/>
    </row>
    <row r="300" spans="13:14" x14ac:dyDescent="0.35">
      <c r="M300"/>
      <c r="N300" s="25"/>
    </row>
    <row r="301" spans="13:14" x14ac:dyDescent="0.35">
      <c r="M301"/>
      <c r="N301" s="25"/>
    </row>
    <row r="302" spans="13:14" x14ac:dyDescent="0.35">
      <c r="M302"/>
      <c r="N302" s="25"/>
    </row>
    <row r="303" spans="13:14" x14ac:dyDescent="0.35">
      <c r="M303"/>
      <c r="N303" s="25"/>
    </row>
    <row r="304" spans="13:14" x14ac:dyDescent="0.35">
      <c r="M304"/>
      <c r="N304" s="25"/>
    </row>
    <row r="305" spans="13:14" x14ac:dyDescent="0.35">
      <c r="M305"/>
      <c r="N305" s="25"/>
    </row>
    <row r="306" spans="13:14" x14ac:dyDescent="0.35">
      <c r="M306"/>
      <c r="N306" s="25"/>
    </row>
    <row r="307" spans="13:14" x14ac:dyDescent="0.35">
      <c r="M307"/>
      <c r="N307" s="25"/>
    </row>
    <row r="308" spans="13:14" x14ac:dyDescent="0.35">
      <c r="M308"/>
      <c r="N308" s="25"/>
    </row>
    <row r="309" spans="13:14" x14ac:dyDescent="0.35">
      <c r="M309"/>
      <c r="N309" s="25"/>
    </row>
    <row r="310" spans="13:14" x14ac:dyDescent="0.35">
      <c r="M310"/>
      <c r="N310" s="25"/>
    </row>
    <row r="311" spans="13:14" x14ac:dyDescent="0.35">
      <c r="M311"/>
      <c r="N311" s="25"/>
    </row>
    <row r="312" spans="13:14" x14ac:dyDescent="0.35">
      <c r="M312"/>
      <c r="N312" s="25"/>
    </row>
    <row r="313" spans="13:14" x14ac:dyDescent="0.35">
      <c r="M313"/>
      <c r="N313" s="25"/>
    </row>
    <row r="314" spans="13:14" x14ac:dyDescent="0.35">
      <c r="M314"/>
      <c r="N314" s="25"/>
    </row>
    <row r="315" spans="13:14" x14ac:dyDescent="0.35">
      <c r="M315"/>
      <c r="N315" s="25"/>
    </row>
    <row r="316" spans="13:14" x14ac:dyDescent="0.35">
      <c r="M316"/>
      <c r="N316" s="25"/>
    </row>
    <row r="317" spans="13:14" x14ac:dyDescent="0.35">
      <c r="M317"/>
      <c r="N317" s="25"/>
    </row>
    <row r="318" spans="13:14" x14ac:dyDescent="0.35">
      <c r="M318"/>
      <c r="N318" s="25"/>
    </row>
    <row r="319" spans="13:14" x14ac:dyDescent="0.35">
      <c r="M319"/>
      <c r="N319" s="25"/>
    </row>
    <row r="320" spans="13:14" x14ac:dyDescent="0.35">
      <c r="M320"/>
      <c r="N320" s="25"/>
    </row>
    <row r="321" spans="13:14" x14ac:dyDescent="0.35">
      <c r="M321"/>
      <c r="N321" s="25"/>
    </row>
    <row r="322" spans="13:14" x14ac:dyDescent="0.35">
      <c r="M322"/>
      <c r="N322" s="25"/>
    </row>
    <row r="323" spans="13:14" x14ac:dyDescent="0.35">
      <c r="M323"/>
      <c r="N323" s="25"/>
    </row>
    <row r="324" spans="13:14" x14ac:dyDescent="0.35">
      <c r="M324"/>
      <c r="N324" s="25"/>
    </row>
    <row r="325" spans="13:14" x14ac:dyDescent="0.35">
      <c r="M325"/>
      <c r="N325" s="25"/>
    </row>
    <row r="326" spans="13:14" x14ac:dyDescent="0.35">
      <c r="M326"/>
      <c r="N326" s="25"/>
    </row>
    <row r="327" spans="13:14" x14ac:dyDescent="0.35">
      <c r="M327"/>
      <c r="N327" s="25"/>
    </row>
    <row r="328" spans="13:14" x14ac:dyDescent="0.35">
      <c r="M328"/>
      <c r="N328" s="25"/>
    </row>
    <row r="329" spans="13:14" x14ac:dyDescent="0.35">
      <c r="M329"/>
      <c r="N329" s="25"/>
    </row>
    <row r="330" spans="13:14" x14ac:dyDescent="0.35">
      <c r="M330"/>
      <c r="N330" s="25"/>
    </row>
    <row r="331" spans="13:14" x14ac:dyDescent="0.35">
      <c r="M331"/>
      <c r="N331" s="25"/>
    </row>
    <row r="332" spans="13:14" x14ac:dyDescent="0.35">
      <c r="M332"/>
      <c r="N332" s="25"/>
    </row>
    <row r="333" spans="13:14" x14ac:dyDescent="0.35">
      <c r="M333"/>
      <c r="N333" s="25"/>
    </row>
    <row r="334" spans="13:14" x14ac:dyDescent="0.35">
      <c r="M334"/>
      <c r="N334" s="25"/>
    </row>
    <row r="335" spans="13:14" x14ac:dyDescent="0.35">
      <c r="M335"/>
      <c r="N335" s="25"/>
    </row>
    <row r="336" spans="13:14" x14ac:dyDescent="0.35">
      <c r="M336"/>
      <c r="N336" s="25"/>
    </row>
    <row r="337" spans="13:14" x14ac:dyDescent="0.35">
      <c r="M337"/>
      <c r="N337" s="25"/>
    </row>
    <row r="338" spans="13:14" x14ac:dyDescent="0.35">
      <c r="M338"/>
      <c r="N338" s="25"/>
    </row>
    <row r="339" spans="13:14" x14ac:dyDescent="0.35">
      <c r="M339"/>
      <c r="N339" s="25"/>
    </row>
    <row r="340" spans="13:14" x14ac:dyDescent="0.35">
      <c r="M340"/>
      <c r="N340" s="25"/>
    </row>
    <row r="341" spans="13:14" x14ac:dyDescent="0.35">
      <c r="M341"/>
      <c r="N341" s="25"/>
    </row>
    <row r="342" spans="13:14" x14ac:dyDescent="0.35">
      <c r="M342"/>
      <c r="N342" s="25"/>
    </row>
    <row r="343" spans="13:14" x14ac:dyDescent="0.35">
      <c r="M343"/>
      <c r="N343" s="25"/>
    </row>
    <row r="344" spans="13:14" x14ac:dyDescent="0.35">
      <c r="M344"/>
      <c r="N344" s="25"/>
    </row>
    <row r="345" spans="13:14" x14ac:dyDescent="0.35">
      <c r="M345"/>
      <c r="N345" s="25"/>
    </row>
    <row r="346" spans="13:14" x14ac:dyDescent="0.35">
      <c r="M346"/>
      <c r="N346" s="25"/>
    </row>
    <row r="347" spans="13:14" x14ac:dyDescent="0.35">
      <c r="M347"/>
      <c r="N347" s="25"/>
    </row>
    <row r="348" spans="13:14" x14ac:dyDescent="0.35">
      <c r="M348"/>
      <c r="N348" s="25"/>
    </row>
    <row r="349" spans="13:14" x14ac:dyDescent="0.35">
      <c r="M349"/>
      <c r="N349" s="25"/>
    </row>
    <row r="350" spans="13:14" x14ac:dyDescent="0.35">
      <c r="M350"/>
    </row>
    <row r="351" spans="13:14" x14ac:dyDescent="0.35">
      <c r="M351"/>
    </row>
    <row r="352" spans="13:14" x14ac:dyDescent="0.35">
      <c r="M352"/>
    </row>
    <row r="353" spans="13:13" x14ac:dyDescent="0.35">
      <c r="M353"/>
    </row>
    <row r="354" spans="13:13" x14ac:dyDescent="0.35">
      <c r="M354"/>
    </row>
    <row r="355" spans="13:13" x14ac:dyDescent="0.35">
      <c r="M355"/>
    </row>
    <row r="356" spans="13:13" x14ac:dyDescent="0.35">
      <c r="M356"/>
    </row>
    <row r="357" spans="13:13" x14ac:dyDescent="0.35">
      <c r="M357"/>
    </row>
    <row r="358" spans="13:13" x14ac:dyDescent="0.35">
      <c r="M358"/>
    </row>
    <row r="359" spans="13:13" x14ac:dyDescent="0.35">
      <c r="M359"/>
    </row>
    <row r="360" spans="13:13" x14ac:dyDescent="0.35">
      <c r="M360"/>
    </row>
    <row r="361" spans="13:13" x14ac:dyDescent="0.35">
      <c r="M361"/>
    </row>
    <row r="362" spans="13:13" x14ac:dyDescent="0.35">
      <c r="M362"/>
    </row>
    <row r="363" spans="13:13" x14ac:dyDescent="0.35">
      <c r="M363"/>
    </row>
    <row r="364" spans="13:13" x14ac:dyDescent="0.35">
      <c r="M364"/>
    </row>
    <row r="365" spans="13:13" x14ac:dyDescent="0.35">
      <c r="M365"/>
    </row>
    <row r="366" spans="13:13" x14ac:dyDescent="0.35">
      <c r="M366"/>
    </row>
    <row r="367" spans="13:13" x14ac:dyDescent="0.35">
      <c r="M367"/>
    </row>
    <row r="368" spans="13:13" x14ac:dyDescent="0.35">
      <c r="M368"/>
    </row>
    <row r="369" spans="13:13" x14ac:dyDescent="0.35">
      <c r="M369"/>
    </row>
    <row r="370" spans="13:13" x14ac:dyDescent="0.35">
      <c r="M370"/>
    </row>
    <row r="371" spans="13:13" x14ac:dyDescent="0.35">
      <c r="M371"/>
    </row>
    <row r="372" spans="13:13" x14ac:dyDescent="0.35">
      <c r="M372"/>
    </row>
    <row r="373" spans="13:13" x14ac:dyDescent="0.35">
      <c r="M373"/>
    </row>
    <row r="374" spans="13:13" x14ac:dyDescent="0.35">
      <c r="M374"/>
    </row>
    <row r="375" spans="13:13" x14ac:dyDescent="0.35">
      <c r="M375"/>
    </row>
    <row r="376" spans="13:13" x14ac:dyDescent="0.35">
      <c r="M376"/>
    </row>
    <row r="377" spans="13:13" x14ac:dyDescent="0.35">
      <c r="M377"/>
    </row>
    <row r="378" spans="13:13" x14ac:dyDescent="0.35">
      <c r="M378"/>
    </row>
    <row r="379" spans="13:13" x14ac:dyDescent="0.35">
      <c r="M379"/>
    </row>
    <row r="380" spans="13:13" x14ac:dyDescent="0.35">
      <c r="M380"/>
    </row>
    <row r="381" spans="13:13" x14ac:dyDescent="0.35">
      <c r="M381"/>
    </row>
    <row r="382" spans="13:13" x14ac:dyDescent="0.35">
      <c r="M382"/>
    </row>
    <row r="383" spans="13:13" x14ac:dyDescent="0.35">
      <c r="M383"/>
    </row>
    <row r="384" spans="13:13" x14ac:dyDescent="0.35">
      <c r="M384"/>
    </row>
    <row r="385" spans="13:13" x14ac:dyDescent="0.35">
      <c r="M385"/>
    </row>
    <row r="386" spans="13:13" x14ac:dyDescent="0.35">
      <c r="M386"/>
    </row>
    <row r="387" spans="13:13" x14ac:dyDescent="0.35">
      <c r="M387"/>
    </row>
    <row r="388" spans="13:13" x14ac:dyDescent="0.35">
      <c r="M388"/>
    </row>
    <row r="389" spans="13:13" x14ac:dyDescent="0.35">
      <c r="M389"/>
    </row>
    <row r="390" spans="13:13" x14ac:dyDescent="0.35">
      <c r="M390"/>
    </row>
    <row r="391" spans="13:13" x14ac:dyDescent="0.35">
      <c r="M391"/>
    </row>
    <row r="392" spans="13:13" x14ac:dyDescent="0.35">
      <c r="M392"/>
    </row>
    <row r="393" spans="13:13" x14ac:dyDescent="0.35">
      <c r="M393"/>
    </row>
    <row r="394" spans="13:13" x14ac:dyDescent="0.35">
      <c r="M394"/>
    </row>
    <row r="395" spans="13:13" x14ac:dyDescent="0.35">
      <c r="M395"/>
    </row>
    <row r="396" spans="13:13" x14ac:dyDescent="0.35">
      <c r="M396"/>
    </row>
    <row r="397" spans="13:13" x14ac:dyDescent="0.35">
      <c r="M397"/>
    </row>
    <row r="398" spans="13:13" x14ac:dyDescent="0.35">
      <c r="M398"/>
    </row>
    <row r="399" spans="13:13" x14ac:dyDescent="0.35">
      <c r="M399"/>
    </row>
    <row r="400" spans="13:13" x14ac:dyDescent="0.35">
      <c r="M400"/>
    </row>
    <row r="401" spans="13:13" x14ac:dyDescent="0.35">
      <c r="M401"/>
    </row>
    <row r="402" spans="13:13" x14ac:dyDescent="0.35">
      <c r="M402"/>
    </row>
    <row r="403" spans="13:13" x14ac:dyDescent="0.35">
      <c r="M403"/>
    </row>
    <row r="404" spans="13:13" x14ac:dyDescent="0.35">
      <c r="M404"/>
    </row>
    <row r="405" spans="13:13" x14ac:dyDescent="0.35">
      <c r="M405"/>
    </row>
    <row r="406" spans="13:13" x14ac:dyDescent="0.35">
      <c r="M406"/>
    </row>
    <row r="407" spans="13:13" x14ac:dyDescent="0.35">
      <c r="M407"/>
    </row>
    <row r="408" spans="13:13" x14ac:dyDescent="0.35">
      <c r="M408"/>
    </row>
    <row r="409" spans="13:13" x14ac:dyDescent="0.35">
      <c r="M409"/>
    </row>
    <row r="410" spans="13:13" x14ac:dyDescent="0.35">
      <c r="M410"/>
    </row>
    <row r="411" spans="13:13" x14ac:dyDescent="0.35">
      <c r="M411"/>
    </row>
    <row r="412" spans="13:13" x14ac:dyDescent="0.35">
      <c r="M412"/>
    </row>
    <row r="413" spans="13:13" x14ac:dyDescent="0.35">
      <c r="M413"/>
    </row>
    <row r="414" spans="13:13" x14ac:dyDescent="0.35">
      <c r="M414"/>
    </row>
    <row r="415" spans="13:13" x14ac:dyDescent="0.35">
      <c r="M415"/>
    </row>
    <row r="416" spans="13:13" x14ac:dyDescent="0.35">
      <c r="M416"/>
    </row>
    <row r="417" spans="13:13" x14ac:dyDescent="0.35">
      <c r="M417"/>
    </row>
    <row r="418" spans="13:13" x14ac:dyDescent="0.35">
      <c r="M418"/>
    </row>
    <row r="419" spans="13:13" x14ac:dyDescent="0.35">
      <c r="M419"/>
    </row>
    <row r="420" spans="13:13" x14ac:dyDescent="0.35">
      <c r="M420"/>
    </row>
    <row r="421" spans="13:13" x14ac:dyDescent="0.35">
      <c r="M421"/>
    </row>
    <row r="422" spans="13:13" x14ac:dyDescent="0.35">
      <c r="M422"/>
    </row>
    <row r="423" spans="13:13" x14ac:dyDescent="0.35">
      <c r="M423"/>
    </row>
    <row r="424" spans="13:13" x14ac:dyDescent="0.35">
      <c r="M424"/>
    </row>
    <row r="425" spans="13:13" x14ac:dyDescent="0.35">
      <c r="M425"/>
    </row>
    <row r="426" spans="13:13" x14ac:dyDescent="0.35">
      <c r="M426"/>
    </row>
    <row r="427" spans="13:13" x14ac:dyDescent="0.35">
      <c r="M427"/>
    </row>
    <row r="428" spans="13:13" x14ac:dyDescent="0.35">
      <c r="M428"/>
    </row>
    <row r="429" spans="13:13" x14ac:dyDescent="0.35">
      <c r="M429"/>
    </row>
    <row r="430" spans="13:13" x14ac:dyDescent="0.35">
      <c r="M430"/>
    </row>
    <row r="431" spans="13:13" x14ac:dyDescent="0.35">
      <c r="M431"/>
    </row>
    <row r="432" spans="13:13" x14ac:dyDescent="0.35">
      <c r="M432"/>
    </row>
    <row r="433" spans="13:13" x14ac:dyDescent="0.35">
      <c r="M433"/>
    </row>
    <row r="434" spans="13:13" x14ac:dyDescent="0.35">
      <c r="M434"/>
    </row>
    <row r="435" spans="13:13" x14ac:dyDescent="0.35">
      <c r="M435"/>
    </row>
    <row r="436" spans="13:13" x14ac:dyDescent="0.35">
      <c r="M436"/>
    </row>
    <row r="437" spans="13:13" x14ac:dyDescent="0.35">
      <c r="M437"/>
    </row>
    <row r="438" spans="13:13" x14ac:dyDescent="0.35">
      <c r="M438"/>
    </row>
    <row r="439" spans="13:13" x14ac:dyDescent="0.35">
      <c r="M439"/>
    </row>
    <row r="440" spans="13:13" x14ac:dyDescent="0.35">
      <c r="M440"/>
    </row>
    <row r="441" spans="13:13" x14ac:dyDescent="0.35">
      <c r="M441"/>
    </row>
    <row r="442" spans="13:13" x14ac:dyDescent="0.35">
      <c r="M442"/>
    </row>
    <row r="443" spans="13:13" x14ac:dyDescent="0.35">
      <c r="M443"/>
    </row>
    <row r="444" spans="13:13" x14ac:dyDescent="0.35">
      <c r="M444"/>
    </row>
    <row r="445" spans="13:13" x14ac:dyDescent="0.35">
      <c r="M445"/>
    </row>
    <row r="446" spans="13:13" x14ac:dyDescent="0.35">
      <c r="M446"/>
    </row>
    <row r="447" spans="13:13" x14ac:dyDescent="0.35">
      <c r="M447"/>
    </row>
    <row r="448" spans="13:13" x14ac:dyDescent="0.35">
      <c r="M448"/>
    </row>
    <row r="449" spans="13:13" x14ac:dyDescent="0.35">
      <c r="M449"/>
    </row>
    <row r="450" spans="13:13" x14ac:dyDescent="0.35">
      <c r="M450"/>
    </row>
    <row r="451" spans="13:13" x14ac:dyDescent="0.35">
      <c r="M451"/>
    </row>
    <row r="452" spans="13:13" x14ac:dyDescent="0.35">
      <c r="M452"/>
    </row>
    <row r="453" spans="13:13" x14ac:dyDescent="0.35">
      <c r="M453"/>
    </row>
    <row r="454" spans="13:13" x14ac:dyDescent="0.35">
      <c r="M454"/>
    </row>
    <row r="455" spans="13:13" x14ac:dyDescent="0.35">
      <c r="M455"/>
    </row>
    <row r="456" spans="13:13" x14ac:dyDescent="0.35">
      <c r="M456"/>
    </row>
    <row r="457" spans="13:13" x14ac:dyDescent="0.35">
      <c r="M457"/>
    </row>
    <row r="458" spans="13:13" x14ac:dyDescent="0.35">
      <c r="M458"/>
    </row>
    <row r="459" spans="13:13" x14ac:dyDescent="0.35">
      <c r="M459"/>
    </row>
    <row r="460" spans="13:13" x14ac:dyDescent="0.35">
      <c r="M460"/>
    </row>
    <row r="461" spans="13:13" x14ac:dyDescent="0.35">
      <c r="M461"/>
    </row>
    <row r="462" spans="13:13" x14ac:dyDescent="0.35">
      <c r="M462"/>
    </row>
    <row r="463" spans="13:13" x14ac:dyDescent="0.35">
      <c r="M463"/>
    </row>
    <row r="464" spans="13:13" x14ac:dyDescent="0.35">
      <c r="M464"/>
    </row>
    <row r="465" spans="13:13" x14ac:dyDescent="0.35">
      <c r="M465"/>
    </row>
    <row r="466" spans="13:13" x14ac:dyDescent="0.35">
      <c r="M466"/>
    </row>
    <row r="467" spans="13:13" x14ac:dyDescent="0.35">
      <c r="M467"/>
    </row>
    <row r="468" spans="13:13" x14ac:dyDescent="0.35">
      <c r="M468"/>
    </row>
    <row r="469" spans="13:13" x14ac:dyDescent="0.35">
      <c r="M469"/>
    </row>
    <row r="470" spans="13:13" x14ac:dyDescent="0.35">
      <c r="M470"/>
    </row>
    <row r="471" spans="13:13" x14ac:dyDescent="0.35">
      <c r="M471"/>
    </row>
    <row r="472" spans="13:13" x14ac:dyDescent="0.35">
      <c r="M472"/>
    </row>
    <row r="473" spans="13:13" x14ac:dyDescent="0.35">
      <c r="M473"/>
    </row>
    <row r="474" spans="13:13" x14ac:dyDescent="0.35">
      <c r="M474"/>
    </row>
    <row r="475" spans="13:13" x14ac:dyDescent="0.35">
      <c r="M475"/>
    </row>
    <row r="476" spans="13:13" x14ac:dyDescent="0.35">
      <c r="M476"/>
    </row>
    <row r="477" spans="13:13" x14ac:dyDescent="0.35">
      <c r="M477"/>
    </row>
    <row r="478" spans="13:13" x14ac:dyDescent="0.35">
      <c r="M478"/>
    </row>
    <row r="479" spans="13:13" x14ac:dyDescent="0.35">
      <c r="M479"/>
    </row>
    <row r="480" spans="13:13" x14ac:dyDescent="0.35">
      <c r="M480"/>
    </row>
    <row r="481" spans="13:13" x14ac:dyDescent="0.35">
      <c r="M481"/>
    </row>
    <row r="482" spans="13:13" x14ac:dyDescent="0.35">
      <c r="M482"/>
    </row>
    <row r="483" spans="13:13" x14ac:dyDescent="0.35">
      <c r="M483"/>
    </row>
    <row r="484" spans="13:13" x14ac:dyDescent="0.35">
      <c r="M484"/>
    </row>
    <row r="485" spans="13:13" x14ac:dyDescent="0.35">
      <c r="M485"/>
    </row>
    <row r="486" spans="13:13" x14ac:dyDescent="0.35">
      <c r="M486"/>
    </row>
    <row r="487" spans="13:13" x14ac:dyDescent="0.35">
      <c r="M487"/>
    </row>
    <row r="488" spans="13:13" x14ac:dyDescent="0.35">
      <c r="M488"/>
    </row>
    <row r="489" spans="13:13" x14ac:dyDescent="0.35">
      <c r="M489"/>
    </row>
    <row r="490" spans="13:13" x14ac:dyDescent="0.35">
      <c r="M490"/>
    </row>
    <row r="491" spans="13:13" x14ac:dyDescent="0.35">
      <c r="M491"/>
    </row>
    <row r="492" spans="13:13" x14ac:dyDescent="0.35">
      <c r="M492"/>
    </row>
    <row r="493" spans="13:13" x14ac:dyDescent="0.35">
      <c r="M493"/>
    </row>
    <row r="494" spans="13:13" x14ac:dyDescent="0.35">
      <c r="M494"/>
    </row>
    <row r="495" spans="13:13" x14ac:dyDescent="0.35">
      <c r="M495"/>
    </row>
    <row r="496" spans="13:13" x14ac:dyDescent="0.35">
      <c r="M496"/>
    </row>
    <row r="497" spans="13:13" x14ac:dyDescent="0.35">
      <c r="M497"/>
    </row>
    <row r="498" spans="13:13" x14ac:dyDescent="0.35">
      <c r="M498"/>
    </row>
    <row r="499" spans="13:13" x14ac:dyDescent="0.35">
      <c r="M499"/>
    </row>
    <row r="500" spans="13:13" x14ac:dyDescent="0.35">
      <c r="M500"/>
    </row>
    <row r="501" spans="13:13" x14ac:dyDescent="0.35">
      <c r="M501"/>
    </row>
    <row r="502" spans="13:13" x14ac:dyDescent="0.35">
      <c r="M502"/>
    </row>
    <row r="503" spans="13:13" x14ac:dyDescent="0.35">
      <c r="M503"/>
    </row>
    <row r="504" spans="13:13" x14ac:dyDescent="0.35">
      <c r="M504"/>
    </row>
    <row r="505" spans="13:13" x14ac:dyDescent="0.35">
      <c r="M505"/>
    </row>
    <row r="506" spans="13:13" x14ac:dyDescent="0.35">
      <c r="M506"/>
    </row>
    <row r="507" spans="13:13" x14ac:dyDescent="0.35">
      <c r="M507"/>
    </row>
    <row r="508" spans="13:13" x14ac:dyDescent="0.35">
      <c r="M508"/>
    </row>
    <row r="509" spans="13:13" x14ac:dyDescent="0.35">
      <c r="M509"/>
    </row>
    <row r="510" spans="13:13" x14ac:dyDescent="0.35">
      <c r="M510"/>
    </row>
    <row r="511" spans="13:13" x14ac:dyDescent="0.35">
      <c r="M511"/>
    </row>
    <row r="512" spans="13:13" x14ac:dyDescent="0.35">
      <c r="M512"/>
    </row>
    <row r="513" spans="13:13" x14ac:dyDescent="0.35">
      <c r="M513"/>
    </row>
    <row r="514" spans="13:13" x14ac:dyDescent="0.35">
      <c r="M514"/>
    </row>
    <row r="515" spans="13:13" x14ac:dyDescent="0.35">
      <c r="M515"/>
    </row>
    <row r="516" spans="13:13" x14ac:dyDescent="0.35">
      <c r="M516"/>
    </row>
    <row r="517" spans="13:13" x14ac:dyDescent="0.35">
      <c r="M517"/>
    </row>
    <row r="518" spans="13:13" x14ac:dyDescent="0.35">
      <c r="M518"/>
    </row>
    <row r="519" spans="13:13" x14ac:dyDescent="0.35">
      <c r="M519"/>
    </row>
    <row r="520" spans="13:13" x14ac:dyDescent="0.35">
      <c r="M520"/>
    </row>
    <row r="521" spans="13:13" x14ac:dyDescent="0.35">
      <c r="M521"/>
    </row>
    <row r="522" spans="13:13" x14ac:dyDescent="0.35">
      <c r="M522"/>
    </row>
    <row r="523" spans="13:13" x14ac:dyDescent="0.35">
      <c r="M523"/>
    </row>
    <row r="524" spans="13:13" x14ac:dyDescent="0.35">
      <c r="M524"/>
    </row>
    <row r="525" spans="13:13" x14ac:dyDescent="0.35">
      <c r="M525"/>
    </row>
    <row r="526" spans="13:13" x14ac:dyDescent="0.35">
      <c r="M526"/>
    </row>
    <row r="527" spans="13:13" x14ac:dyDescent="0.35">
      <c r="M527"/>
    </row>
    <row r="528" spans="13:13" x14ac:dyDescent="0.35">
      <c r="M528"/>
    </row>
    <row r="529" spans="13:13" x14ac:dyDescent="0.35">
      <c r="M529"/>
    </row>
    <row r="530" spans="13:13" x14ac:dyDescent="0.35">
      <c r="M530"/>
    </row>
    <row r="531" spans="13:13" x14ac:dyDescent="0.35">
      <c r="M531"/>
    </row>
    <row r="532" spans="13:13" x14ac:dyDescent="0.35">
      <c r="M532"/>
    </row>
    <row r="533" spans="13:13" x14ac:dyDescent="0.35">
      <c r="M533"/>
    </row>
    <row r="534" spans="13:13" x14ac:dyDescent="0.35">
      <c r="M534"/>
    </row>
    <row r="535" spans="13:13" x14ac:dyDescent="0.35">
      <c r="M535"/>
    </row>
    <row r="536" spans="13:13" x14ac:dyDescent="0.35">
      <c r="M536"/>
    </row>
    <row r="537" spans="13:13" x14ac:dyDescent="0.35">
      <c r="M537"/>
    </row>
    <row r="538" spans="13:13" x14ac:dyDescent="0.35">
      <c r="M538"/>
    </row>
    <row r="539" spans="13:13" x14ac:dyDescent="0.35">
      <c r="M539"/>
    </row>
    <row r="540" spans="13:13" x14ac:dyDescent="0.35">
      <c r="M540"/>
    </row>
    <row r="541" spans="13:13" x14ac:dyDescent="0.35">
      <c r="M541"/>
    </row>
    <row r="542" spans="13:13" x14ac:dyDescent="0.35">
      <c r="M542"/>
    </row>
    <row r="543" spans="13:13" x14ac:dyDescent="0.35">
      <c r="M543"/>
    </row>
    <row r="544" spans="13:13" x14ac:dyDescent="0.35">
      <c r="M544"/>
    </row>
    <row r="545" spans="13:13" x14ac:dyDescent="0.35">
      <c r="M545"/>
    </row>
    <row r="546" spans="13:13" x14ac:dyDescent="0.35">
      <c r="M546"/>
    </row>
    <row r="547" spans="13:13" x14ac:dyDescent="0.35">
      <c r="M547"/>
    </row>
    <row r="548" spans="13:13" x14ac:dyDescent="0.35">
      <c r="M548"/>
    </row>
    <row r="549" spans="13:13" x14ac:dyDescent="0.35">
      <c r="M549"/>
    </row>
    <row r="550" spans="13:13" x14ac:dyDescent="0.35">
      <c r="M550"/>
    </row>
    <row r="551" spans="13:13" x14ac:dyDescent="0.35">
      <c r="M551"/>
    </row>
    <row r="552" spans="13:13" x14ac:dyDescent="0.35">
      <c r="M552"/>
    </row>
    <row r="553" spans="13:13" x14ac:dyDescent="0.35">
      <c r="M553"/>
    </row>
    <row r="554" spans="13:13" x14ac:dyDescent="0.35">
      <c r="M554"/>
    </row>
    <row r="555" spans="13:13" x14ac:dyDescent="0.35">
      <c r="M555"/>
    </row>
    <row r="556" spans="13:13" x14ac:dyDescent="0.35">
      <c r="M556"/>
    </row>
    <row r="557" spans="13:13" x14ac:dyDescent="0.35">
      <c r="M557"/>
    </row>
    <row r="558" spans="13:13" x14ac:dyDescent="0.35">
      <c r="M558"/>
    </row>
    <row r="559" spans="13:13" x14ac:dyDescent="0.35">
      <c r="M559"/>
    </row>
    <row r="560" spans="13:13" x14ac:dyDescent="0.35">
      <c r="M560"/>
    </row>
    <row r="561" spans="13:13" x14ac:dyDescent="0.35">
      <c r="M561"/>
    </row>
    <row r="562" spans="13:13" x14ac:dyDescent="0.35">
      <c r="M562"/>
    </row>
    <row r="563" spans="13:13" x14ac:dyDescent="0.35">
      <c r="M563"/>
    </row>
    <row r="564" spans="13:13" x14ac:dyDescent="0.35">
      <c r="M564"/>
    </row>
    <row r="565" spans="13:13" x14ac:dyDescent="0.35">
      <c r="M565"/>
    </row>
    <row r="566" spans="13:13" x14ac:dyDescent="0.35">
      <c r="M566"/>
    </row>
    <row r="567" spans="13:13" x14ac:dyDescent="0.35">
      <c r="M567"/>
    </row>
    <row r="568" spans="13:13" x14ac:dyDescent="0.35">
      <c r="M568"/>
    </row>
    <row r="569" spans="13:13" x14ac:dyDescent="0.35">
      <c r="M569"/>
    </row>
    <row r="570" spans="13:13" x14ac:dyDescent="0.35">
      <c r="M570"/>
    </row>
    <row r="571" spans="13:13" x14ac:dyDescent="0.35">
      <c r="M571"/>
    </row>
    <row r="572" spans="13:13" x14ac:dyDescent="0.35">
      <c r="M572"/>
    </row>
    <row r="573" spans="13:13" x14ac:dyDescent="0.35">
      <c r="M573"/>
    </row>
    <row r="574" spans="13:13" x14ac:dyDescent="0.35">
      <c r="M574"/>
    </row>
    <row r="575" spans="13:13" x14ac:dyDescent="0.35">
      <c r="M575"/>
    </row>
    <row r="576" spans="13:13" x14ac:dyDescent="0.35">
      <c r="M576"/>
    </row>
    <row r="577" spans="13:13" x14ac:dyDescent="0.35">
      <c r="M577"/>
    </row>
    <row r="578" spans="13:13" x14ac:dyDescent="0.35">
      <c r="M578"/>
    </row>
    <row r="579" spans="13:13" x14ac:dyDescent="0.35">
      <c r="M579"/>
    </row>
    <row r="580" spans="13:13" x14ac:dyDescent="0.35">
      <c r="M580"/>
    </row>
    <row r="581" spans="13:13" x14ac:dyDescent="0.35">
      <c r="M581"/>
    </row>
    <row r="582" spans="13:13" x14ac:dyDescent="0.35">
      <c r="M582"/>
    </row>
    <row r="583" spans="13:13" x14ac:dyDescent="0.35">
      <c r="M583"/>
    </row>
    <row r="584" spans="13:13" x14ac:dyDescent="0.35">
      <c r="M584"/>
    </row>
    <row r="585" spans="13:13" x14ac:dyDescent="0.35">
      <c r="M585"/>
    </row>
    <row r="586" spans="13:13" x14ac:dyDescent="0.35">
      <c r="M586"/>
    </row>
    <row r="587" spans="13:13" x14ac:dyDescent="0.35">
      <c r="M587"/>
    </row>
    <row r="588" spans="13:13" x14ac:dyDescent="0.35">
      <c r="M588"/>
    </row>
    <row r="589" spans="13:13" x14ac:dyDescent="0.35">
      <c r="M589"/>
    </row>
    <row r="590" spans="13:13" x14ac:dyDescent="0.35">
      <c r="M590"/>
    </row>
    <row r="591" spans="13:13" x14ac:dyDescent="0.35">
      <c r="M591"/>
    </row>
    <row r="592" spans="13:13" x14ac:dyDescent="0.35">
      <c r="M592"/>
    </row>
    <row r="593" spans="13:13" x14ac:dyDescent="0.35">
      <c r="M593"/>
    </row>
    <row r="594" spans="13:13" x14ac:dyDescent="0.35">
      <c r="M594"/>
    </row>
    <row r="595" spans="13:13" x14ac:dyDescent="0.35">
      <c r="M595"/>
    </row>
    <row r="596" spans="13:13" x14ac:dyDescent="0.35">
      <c r="M596"/>
    </row>
    <row r="597" spans="13:13" x14ac:dyDescent="0.35">
      <c r="M597"/>
    </row>
    <row r="598" spans="13:13" x14ac:dyDescent="0.35">
      <c r="M598"/>
    </row>
    <row r="599" spans="13:13" x14ac:dyDescent="0.35">
      <c r="M599"/>
    </row>
    <row r="600" spans="13:13" x14ac:dyDescent="0.35">
      <c r="M600"/>
    </row>
    <row r="601" spans="13:13" x14ac:dyDescent="0.35">
      <c r="M601"/>
    </row>
    <row r="602" spans="13:13" x14ac:dyDescent="0.35">
      <c r="M602"/>
    </row>
    <row r="603" spans="13:13" x14ac:dyDescent="0.35">
      <c r="M603"/>
    </row>
    <row r="604" spans="13:13" x14ac:dyDescent="0.35">
      <c r="M604"/>
    </row>
    <row r="605" spans="13:13" x14ac:dyDescent="0.35">
      <c r="M605"/>
    </row>
    <row r="606" spans="13:13" x14ac:dyDescent="0.35">
      <c r="M606"/>
    </row>
    <row r="607" spans="13:13" x14ac:dyDescent="0.35">
      <c r="M607"/>
    </row>
    <row r="608" spans="13:13" x14ac:dyDescent="0.35">
      <c r="M608"/>
    </row>
    <row r="609" spans="13:13" x14ac:dyDescent="0.35">
      <c r="M609"/>
    </row>
    <row r="610" spans="13:13" x14ac:dyDescent="0.35">
      <c r="M610"/>
    </row>
    <row r="611" spans="13:13" x14ac:dyDescent="0.35">
      <c r="M611"/>
    </row>
    <row r="612" spans="13:13" x14ac:dyDescent="0.35">
      <c r="M612"/>
    </row>
    <row r="613" spans="13:13" x14ac:dyDescent="0.35">
      <c r="M613"/>
    </row>
    <row r="614" spans="13:13" x14ac:dyDescent="0.35">
      <c r="M614"/>
    </row>
    <row r="615" spans="13:13" x14ac:dyDescent="0.35">
      <c r="M615"/>
    </row>
    <row r="616" spans="13:13" x14ac:dyDescent="0.35">
      <c r="M616"/>
    </row>
    <row r="617" spans="13:13" x14ac:dyDescent="0.35">
      <c r="M617"/>
    </row>
    <row r="618" spans="13:13" x14ac:dyDescent="0.35">
      <c r="M618"/>
    </row>
    <row r="619" spans="13:13" x14ac:dyDescent="0.35">
      <c r="M619"/>
    </row>
    <row r="620" spans="13:13" x14ac:dyDescent="0.35">
      <c r="M620"/>
    </row>
    <row r="621" spans="13:13" x14ac:dyDescent="0.35">
      <c r="M621"/>
    </row>
    <row r="622" spans="13:13" x14ac:dyDescent="0.35">
      <c r="M622"/>
    </row>
    <row r="623" spans="13:13" x14ac:dyDescent="0.35">
      <c r="M623"/>
    </row>
    <row r="624" spans="13:13" x14ac:dyDescent="0.35">
      <c r="M624"/>
    </row>
    <row r="625" spans="13:13" x14ac:dyDescent="0.35">
      <c r="M625"/>
    </row>
    <row r="626" spans="13:13" x14ac:dyDescent="0.35">
      <c r="M626"/>
    </row>
    <row r="627" spans="13:13" x14ac:dyDescent="0.35">
      <c r="M627"/>
    </row>
    <row r="628" spans="13:13" x14ac:dyDescent="0.35">
      <c r="M628"/>
    </row>
    <row r="629" spans="13:13" x14ac:dyDescent="0.35">
      <c r="M629"/>
    </row>
    <row r="630" spans="13:13" x14ac:dyDescent="0.35">
      <c r="M630"/>
    </row>
    <row r="631" spans="13:13" x14ac:dyDescent="0.35">
      <c r="M631"/>
    </row>
    <row r="632" spans="13:13" x14ac:dyDescent="0.35">
      <c r="M632"/>
    </row>
    <row r="633" spans="13:13" x14ac:dyDescent="0.35">
      <c r="M633"/>
    </row>
    <row r="634" spans="13:13" x14ac:dyDescent="0.35">
      <c r="M634"/>
    </row>
    <row r="635" spans="13:13" x14ac:dyDescent="0.35">
      <c r="M635"/>
    </row>
    <row r="636" spans="13:13" x14ac:dyDescent="0.35">
      <c r="M636"/>
    </row>
    <row r="637" spans="13:13" x14ac:dyDescent="0.35">
      <c r="M637"/>
    </row>
    <row r="638" spans="13:13" x14ac:dyDescent="0.35">
      <c r="M638"/>
    </row>
    <row r="639" spans="13:13" x14ac:dyDescent="0.35">
      <c r="M639"/>
    </row>
    <row r="640" spans="13:13" x14ac:dyDescent="0.35">
      <c r="M640"/>
    </row>
    <row r="641" spans="13:13" x14ac:dyDescent="0.35">
      <c r="M641"/>
    </row>
    <row r="642" spans="13:13" x14ac:dyDescent="0.35">
      <c r="M642"/>
    </row>
    <row r="643" spans="13:13" x14ac:dyDescent="0.35">
      <c r="M643"/>
    </row>
    <row r="644" spans="13:13" x14ac:dyDescent="0.35">
      <c r="M644"/>
    </row>
    <row r="645" spans="13:13" x14ac:dyDescent="0.35">
      <c r="M645"/>
    </row>
    <row r="646" spans="13:13" x14ac:dyDescent="0.35">
      <c r="M646"/>
    </row>
    <row r="647" spans="13:13" x14ac:dyDescent="0.35">
      <c r="M647"/>
    </row>
    <row r="648" spans="13:13" x14ac:dyDescent="0.35">
      <c r="M648"/>
    </row>
    <row r="649" spans="13:13" x14ac:dyDescent="0.35">
      <c r="M649"/>
    </row>
    <row r="650" spans="13:13" x14ac:dyDescent="0.35">
      <c r="M650"/>
    </row>
    <row r="651" spans="13:13" x14ac:dyDescent="0.35">
      <c r="M651"/>
    </row>
    <row r="652" spans="13:13" x14ac:dyDescent="0.35">
      <c r="M652"/>
    </row>
    <row r="653" spans="13:13" x14ac:dyDescent="0.35">
      <c r="M653"/>
    </row>
    <row r="654" spans="13:13" x14ac:dyDescent="0.35">
      <c r="M654"/>
    </row>
    <row r="655" spans="13:13" x14ac:dyDescent="0.35">
      <c r="M655"/>
    </row>
    <row r="656" spans="13:13" x14ac:dyDescent="0.35">
      <c r="M656"/>
    </row>
    <row r="657" spans="13:13" x14ac:dyDescent="0.35">
      <c r="M657"/>
    </row>
    <row r="658" spans="13:13" x14ac:dyDescent="0.35">
      <c r="M658"/>
    </row>
    <row r="659" spans="13:13" x14ac:dyDescent="0.35">
      <c r="M659"/>
    </row>
    <row r="660" spans="13:13" x14ac:dyDescent="0.35">
      <c r="M660"/>
    </row>
    <row r="661" spans="13:13" x14ac:dyDescent="0.35">
      <c r="M661"/>
    </row>
    <row r="662" spans="13:13" x14ac:dyDescent="0.35">
      <c r="M662"/>
    </row>
    <row r="663" spans="13:13" x14ac:dyDescent="0.35">
      <c r="M663"/>
    </row>
    <row r="664" spans="13:13" x14ac:dyDescent="0.35">
      <c r="M664"/>
    </row>
    <row r="665" spans="13:13" x14ac:dyDescent="0.35">
      <c r="M665"/>
    </row>
    <row r="666" spans="13:13" x14ac:dyDescent="0.35">
      <c r="M666"/>
    </row>
    <row r="667" spans="13:13" x14ac:dyDescent="0.35">
      <c r="M667"/>
    </row>
    <row r="668" spans="13:13" x14ac:dyDescent="0.35">
      <c r="M668"/>
    </row>
    <row r="669" spans="13:13" x14ac:dyDescent="0.35">
      <c r="M669"/>
    </row>
    <row r="670" spans="13:13" x14ac:dyDescent="0.35">
      <c r="M670"/>
    </row>
    <row r="671" spans="13:13" x14ac:dyDescent="0.35">
      <c r="M671"/>
    </row>
    <row r="672" spans="13:13" x14ac:dyDescent="0.35">
      <c r="M672"/>
    </row>
    <row r="673" spans="13:13" x14ac:dyDescent="0.35">
      <c r="M673"/>
    </row>
    <row r="674" spans="13:13" x14ac:dyDescent="0.35">
      <c r="M674"/>
    </row>
    <row r="675" spans="13:13" x14ac:dyDescent="0.35">
      <c r="M675"/>
    </row>
    <row r="676" spans="13:13" x14ac:dyDescent="0.35">
      <c r="M676"/>
    </row>
    <row r="677" spans="13:13" x14ac:dyDescent="0.35">
      <c r="M677"/>
    </row>
    <row r="678" spans="13:13" x14ac:dyDescent="0.35">
      <c r="M678"/>
    </row>
    <row r="679" spans="13:13" x14ac:dyDescent="0.35">
      <c r="M679"/>
    </row>
    <row r="680" spans="13:13" x14ac:dyDescent="0.35">
      <c r="M680"/>
    </row>
    <row r="681" spans="13:13" x14ac:dyDescent="0.35">
      <c r="M681"/>
    </row>
    <row r="682" spans="13:13" x14ac:dyDescent="0.35">
      <c r="M682"/>
    </row>
    <row r="683" spans="13:13" x14ac:dyDescent="0.35">
      <c r="M683"/>
    </row>
    <row r="684" spans="13:13" x14ac:dyDescent="0.35">
      <c r="M684"/>
    </row>
    <row r="685" spans="13:13" x14ac:dyDescent="0.35">
      <c r="M685"/>
    </row>
    <row r="686" spans="13:13" x14ac:dyDescent="0.35">
      <c r="M686"/>
    </row>
    <row r="687" spans="13:13" x14ac:dyDescent="0.35">
      <c r="M687"/>
    </row>
    <row r="688" spans="13:13" x14ac:dyDescent="0.35">
      <c r="M688"/>
    </row>
    <row r="689" spans="13:13" x14ac:dyDescent="0.35">
      <c r="M689"/>
    </row>
  </sheetData>
  <conditionalFormatting sqref="E490:M1000 E378:F489 E10:E377">
    <cfRule type="expression" dxfId="375" priority="1">
      <formula>$F10="Inactive"</formula>
    </cfRule>
  </conditionalFormatting>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5B8538-675C-4A3B-A6F5-5BFE28D684CC}">
  <dimension ref="M1:M32"/>
  <sheetViews>
    <sheetView showGridLines="0" showRowColHeaders="0" tabSelected="1" zoomScale="80" zoomScaleNormal="80" workbookViewId="0">
      <selection activeCell="Q25" sqref="Q25"/>
    </sheetView>
  </sheetViews>
  <sheetFormatPr defaultRowHeight="14.5" x14ac:dyDescent="0.35"/>
  <cols>
    <col min="12" max="12" width="2.1796875" customWidth="1"/>
    <col min="13" max="13" width="0.54296875" style="19" customWidth="1"/>
  </cols>
  <sheetData>
    <row r="1" spans="13:13" x14ac:dyDescent="0.35">
      <c r="M1" s="42"/>
    </row>
    <row r="2" spans="13:13" x14ac:dyDescent="0.35">
      <c r="M2" s="42"/>
    </row>
    <row r="3" spans="13:13" x14ac:dyDescent="0.35">
      <c r="M3" s="42"/>
    </row>
    <row r="4" spans="13:13" x14ac:dyDescent="0.35">
      <c r="M4" s="42"/>
    </row>
    <row r="5" spans="13:13" x14ac:dyDescent="0.35">
      <c r="M5" s="42"/>
    </row>
    <row r="6" spans="13:13" x14ac:dyDescent="0.35">
      <c r="M6" s="42"/>
    </row>
    <row r="7" spans="13:13" x14ac:dyDescent="0.35">
      <c r="M7" s="42"/>
    </row>
    <row r="8" spans="13:13" x14ac:dyDescent="0.35">
      <c r="M8" s="42"/>
    </row>
    <row r="9" spans="13:13" x14ac:dyDescent="0.35">
      <c r="M9" s="42"/>
    </row>
    <row r="10" spans="13:13" x14ac:dyDescent="0.35">
      <c r="M10" s="42"/>
    </row>
    <row r="11" spans="13:13" x14ac:dyDescent="0.35">
      <c r="M11" s="42"/>
    </row>
    <row r="12" spans="13:13" x14ac:dyDescent="0.35">
      <c r="M12" s="42"/>
    </row>
    <row r="13" spans="13:13" x14ac:dyDescent="0.35">
      <c r="M13" s="42"/>
    </row>
    <row r="14" spans="13:13" x14ac:dyDescent="0.35">
      <c r="M14" s="42"/>
    </row>
    <row r="15" spans="13:13" x14ac:dyDescent="0.35">
      <c r="M15" s="42"/>
    </row>
    <row r="16" spans="13:13" x14ac:dyDescent="0.35">
      <c r="M16" s="42"/>
    </row>
    <row r="17" spans="13:13" x14ac:dyDescent="0.35">
      <c r="M17" s="42"/>
    </row>
    <row r="18" spans="13:13" x14ac:dyDescent="0.35">
      <c r="M18" s="42"/>
    </row>
    <row r="19" spans="13:13" x14ac:dyDescent="0.35">
      <c r="M19" s="42"/>
    </row>
    <row r="20" spans="13:13" x14ac:dyDescent="0.35">
      <c r="M20" s="42"/>
    </row>
    <row r="21" spans="13:13" x14ac:dyDescent="0.35">
      <c r="M21" s="42"/>
    </row>
    <row r="22" spans="13:13" x14ac:dyDescent="0.35">
      <c r="M22" s="42"/>
    </row>
    <row r="23" spans="13:13" x14ac:dyDescent="0.35">
      <c r="M23" s="42"/>
    </row>
    <row r="24" spans="13:13" x14ac:dyDescent="0.35">
      <c r="M24" s="42"/>
    </row>
    <row r="25" spans="13:13" x14ac:dyDescent="0.35">
      <c r="M25" s="42"/>
    </row>
    <row r="26" spans="13:13" x14ac:dyDescent="0.35">
      <c r="M26" s="42"/>
    </row>
    <row r="27" spans="13:13" x14ac:dyDescent="0.35">
      <c r="M27" s="42"/>
    </row>
    <row r="28" spans="13:13" x14ac:dyDescent="0.35">
      <c r="M28" s="42"/>
    </row>
    <row r="29" spans="13:13" x14ac:dyDescent="0.35">
      <c r="M29" s="42"/>
    </row>
    <row r="30" spans="13:13" x14ac:dyDescent="0.35">
      <c r="M30" s="42"/>
    </row>
    <row r="31" spans="13:13" x14ac:dyDescent="0.35">
      <c r="M31" s="42"/>
    </row>
    <row r="32" spans="13:13" x14ac:dyDescent="0.35">
      <c r="M32" s="42"/>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T368"/>
  <sheetViews>
    <sheetView showGridLines="0" zoomScale="80" zoomScaleNormal="80" workbookViewId="0">
      <pane xSplit="2" ySplit="1" topLeftCell="E343" activePane="bottomRight" state="frozen"/>
      <selection pane="topRight" activeCell="B1" sqref="B1"/>
      <selection pane="bottomLeft" activeCell="A2" sqref="A2"/>
      <selection pane="bottomRight" activeCell="Q1" sqref="Q1:S1048576"/>
    </sheetView>
  </sheetViews>
  <sheetFormatPr defaultColWidth="9.1796875" defaultRowHeight="14.5" x14ac:dyDescent="0.35"/>
  <cols>
    <col min="1" max="1" width="25.54296875" style="22" bestFit="1" customWidth="1"/>
    <col min="2" max="2" width="6.90625" style="31" bestFit="1" customWidth="1"/>
    <col min="3" max="3" width="5" style="21" customWidth="1"/>
    <col min="4" max="4" width="30.453125" style="22" bestFit="1" customWidth="1"/>
    <col min="5" max="5" width="20.90625" style="22" bestFit="1" customWidth="1"/>
    <col min="6" max="6" width="12.90625" style="39" bestFit="1" customWidth="1"/>
    <col min="7" max="7" width="18.26953125" style="39" bestFit="1" customWidth="1"/>
    <col min="8" max="8" width="10" style="39" bestFit="1" customWidth="1"/>
    <col min="9" max="9" width="12.36328125" style="39" bestFit="1" customWidth="1"/>
    <col min="10" max="10" width="9.90625" style="39" bestFit="1" customWidth="1"/>
    <col min="11" max="11" width="5.90625" style="39" bestFit="1" customWidth="1"/>
    <col min="12" max="12" width="11.453125" style="40" bestFit="1" customWidth="1"/>
    <col min="13" max="13" width="4.26953125" style="39" bestFit="1" customWidth="1"/>
    <col min="14" max="14" width="5.6328125" style="41" bestFit="1" customWidth="1"/>
    <col min="15" max="15" width="10.453125" style="39" bestFit="1" customWidth="1"/>
    <col min="16" max="16" width="9.1796875" style="22"/>
    <col min="17" max="17" width="10.54296875" style="65" bestFit="1" customWidth="1"/>
    <col min="18" max="19" width="9.1796875" style="65"/>
    <col min="20" max="16384" width="9.1796875" style="22"/>
  </cols>
  <sheetData>
    <row r="1" spans="1:20" s="1" customFormat="1" x14ac:dyDescent="0.35">
      <c r="A1" s="4" t="s">
        <v>8</v>
      </c>
      <c r="B1" s="30" t="s">
        <v>5</v>
      </c>
      <c r="C1" s="5" t="s">
        <v>521</v>
      </c>
      <c r="D1" s="4" t="s">
        <v>0</v>
      </c>
      <c r="E1" s="4" t="s">
        <v>1</v>
      </c>
      <c r="F1" s="33" t="s">
        <v>12</v>
      </c>
      <c r="G1" s="33" t="s">
        <v>11</v>
      </c>
      <c r="H1" s="33" t="s">
        <v>10</v>
      </c>
      <c r="I1" s="33" t="s">
        <v>9</v>
      </c>
      <c r="J1" s="33" t="s">
        <v>2</v>
      </c>
      <c r="K1" s="33" t="s">
        <v>6</v>
      </c>
      <c r="L1" s="34" t="s">
        <v>14</v>
      </c>
      <c r="M1" s="33" t="s">
        <v>15</v>
      </c>
      <c r="N1" s="35" t="s">
        <v>16</v>
      </c>
      <c r="O1" s="35" t="s">
        <v>522</v>
      </c>
      <c r="P1" s="35" t="s">
        <v>526</v>
      </c>
      <c r="Q1" s="35" t="s">
        <v>528</v>
      </c>
      <c r="R1" s="35" t="s">
        <v>529</v>
      </c>
      <c r="S1" s="35" t="s">
        <v>530</v>
      </c>
      <c r="T1" s="29"/>
    </row>
    <row r="2" spans="1:20" customFormat="1" x14ac:dyDescent="0.35">
      <c r="A2" s="2" t="s">
        <v>424</v>
      </c>
      <c r="B2" s="2"/>
      <c r="C2" s="3"/>
      <c r="D2" s="2" t="s">
        <v>50</v>
      </c>
      <c r="E2" s="2" t="s">
        <v>407</v>
      </c>
      <c r="F2" s="36">
        <v>12</v>
      </c>
      <c r="G2" s="36"/>
      <c r="H2" s="36"/>
      <c r="I2" s="36">
        <v>12</v>
      </c>
      <c r="J2" s="36">
        <v>3</v>
      </c>
      <c r="K2" s="36">
        <v>3</v>
      </c>
      <c r="L2" s="37">
        <f>I2/20</f>
        <v>0.6</v>
      </c>
      <c r="M2" s="36">
        <f>K2</f>
        <v>3</v>
      </c>
      <c r="N2" s="38">
        <f>IFERROR(I2/K2,0)</f>
        <v>4</v>
      </c>
      <c r="O2" s="36">
        <v>17</v>
      </c>
      <c r="P2" s="44">
        <v>3.5346990740740747</v>
      </c>
      <c r="Q2" s="61">
        <v>1</v>
      </c>
      <c r="R2" s="61">
        <v>0</v>
      </c>
      <c r="S2" s="61">
        <v>0</v>
      </c>
      <c r="T2" s="12"/>
    </row>
    <row r="3" spans="1:20" customFormat="1" x14ac:dyDescent="0.35">
      <c r="A3" s="2" t="s">
        <v>424</v>
      </c>
      <c r="B3" s="2"/>
      <c r="C3" s="3"/>
      <c r="D3" s="2" t="s">
        <v>51</v>
      </c>
      <c r="E3" s="2" t="s">
        <v>407</v>
      </c>
      <c r="F3" s="36">
        <v>26</v>
      </c>
      <c r="G3" s="36"/>
      <c r="H3" s="36"/>
      <c r="I3" s="36">
        <v>26</v>
      </c>
      <c r="J3" s="36">
        <v>2</v>
      </c>
      <c r="K3" s="36">
        <v>0</v>
      </c>
      <c r="L3" s="37">
        <f t="shared" ref="L3:L66" si="0">I3/20</f>
        <v>1.3</v>
      </c>
      <c r="M3" s="36">
        <f t="shared" ref="M3:M66" si="1">K3</f>
        <v>0</v>
      </c>
      <c r="N3" s="38">
        <f t="shared" ref="N3:N66" si="2">IFERROR(I3/K3,0)</f>
        <v>0</v>
      </c>
      <c r="O3" s="36">
        <v>198</v>
      </c>
      <c r="P3" s="44">
        <v>4.6490740740740737</v>
      </c>
      <c r="Q3" s="61">
        <v>0</v>
      </c>
      <c r="R3" s="61">
        <v>0</v>
      </c>
      <c r="S3" s="61">
        <v>1</v>
      </c>
      <c r="T3" s="12"/>
    </row>
    <row r="4" spans="1:20" customFormat="1" x14ac:dyDescent="0.35">
      <c r="A4" s="2" t="s">
        <v>424</v>
      </c>
      <c r="B4" s="2"/>
      <c r="C4" s="3"/>
      <c r="D4" s="2" t="s">
        <v>52</v>
      </c>
      <c r="E4" s="2" t="s">
        <v>407</v>
      </c>
      <c r="F4" s="36">
        <v>37</v>
      </c>
      <c r="G4" s="36"/>
      <c r="H4" s="36"/>
      <c r="I4" s="36">
        <v>37</v>
      </c>
      <c r="J4" s="36">
        <v>2</v>
      </c>
      <c r="K4" s="36">
        <v>3</v>
      </c>
      <c r="L4" s="37">
        <f t="shared" si="0"/>
        <v>1.85</v>
      </c>
      <c r="M4" s="36">
        <f t="shared" si="1"/>
        <v>3</v>
      </c>
      <c r="N4" s="38">
        <f t="shared" si="2"/>
        <v>12.333333333333334</v>
      </c>
      <c r="O4" s="36">
        <v>682</v>
      </c>
      <c r="P4" s="44">
        <v>5.5969907407407407</v>
      </c>
      <c r="Q4" s="61">
        <v>2</v>
      </c>
      <c r="R4" s="61">
        <v>0</v>
      </c>
      <c r="S4" s="61">
        <v>0</v>
      </c>
      <c r="T4" s="12"/>
    </row>
    <row r="5" spans="1:20" customFormat="1" x14ac:dyDescent="0.35">
      <c r="A5" s="2" t="s">
        <v>424</v>
      </c>
      <c r="B5" s="2"/>
      <c r="C5" s="3"/>
      <c r="D5" s="2" t="s">
        <v>53</v>
      </c>
      <c r="E5" s="2" t="s">
        <v>407</v>
      </c>
      <c r="F5" s="36">
        <v>22</v>
      </c>
      <c r="G5" s="36"/>
      <c r="H5" s="36"/>
      <c r="I5" s="36">
        <v>22</v>
      </c>
      <c r="J5" s="36">
        <v>1</v>
      </c>
      <c r="K5" s="36">
        <v>1</v>
      </c>
      <c r="L5" s="37">
        <f t="shared" si="0"/>
        <v>1.1000000000000001</v>
      </c>
      <c r="M5" s="36">
        <f t="shared" si="1"/>
        <v>1</v>
      </c>
      <c r="N5" s="38">
        <f t="shared" si="2"/>
        <v>22</v>
      </c>
      <c r="O5" s="36">
        <v>407</v>
      </c>
      <c r="P5" s="44">
        <v>4.1167476851851852</v>
      </c>
      <c r="Q5" s="61">
        <v>1</v>
      </c>
      <c r="R5" s="61">
        <v>0</v>
      </c>
      <c r="S5" s="61">
        <v>0</v>
      </c>
      <c r="T5" s="12"/>
    </row>
    <row r="6" spans="1:20" customFormat="1" x14ac:dyDescent="0.35">
      <c r="A6" s="2" t="s">
        <v>424</v>
      </c>
      <c r="B6" s="2"/>
      <c r="C6" s="3"/>
      <c r="D6" s="2" t="s">
        <v>54</v>
      </c>
      <c r="E6" s="2" t="s">
        <v>407</v>
      </c>
      <c r="F6" s="36">
        <v>20</v>
      </c>
      <c r="G6" s="36"/>
      <c r="H6" s="36"/>
      <c r="I6" s="36">
        <v>20</v>
      </c>
      <c r="J6" s="36">
        <v>2</v>
      </c>
      <c r="K6" s="36">
        <v>2</v>
      </c>
      <c r="L6" s="37">
        <f t="shared" si="0"/>
        <v>1</v>
      </c>
      <c r="M6" s="36">
        <f t="shared" si="1"/>
        <v>2</v>
      </c>
      <c r="N6" s="38">
        <f t="shared" si="2"/>
        <v>10</v>
      </c>
      <c r="O6" s="36">
        <v>414</v>
      </c>
      <c r="P6" s="44">
        <v>4.9679861111111121</v>
      </c>
      <c r="Q6" s="61">
        <v>2</v>
      </c>
      <c r="R6" s="61">
        <v>2</v>
      </c>
      <c r="S6" s="61">
        <v>1</v>
      </c>
      <c r="T6" s="12"/>
    </row>
    <row r="7" spans="1:20" customFormat="1" x14ac:dyDescent="0.35">
      <c r="A7" s="2" t="s">
        <v>425</v>
      </c>
      <c r="B7" s="2"/>
      <c r="C7" s="3"/>
      <c r="D7" s="2" t="s">
        <v>41</v>
      </c>
      <c r="E7" s="2" t="s">
        <v>408</v>
      </c>
      <c r="F7" s="36">
        <v>10</v>
      </c>
      <c r="G7" s="36"/>
      <c r="H7" s="36"/>
      <c r="I7" s="36">
        <v>7</v>
      </c>
      <c r="J7" s="36">
        <v>1</v>
      </c>
      <c r="K7" s="36">
        <v>0</v>
      </c>
      <c r="L7" s="37">
        <f t="shared" si="0"/>
        <v>0.35</v>
      </c>
      <c r="M7" s="36">
        <f t="shared" si="1"/>
        <v>0</v>
      </c>
      <c r="N7" s="38">
        <f t="shared" si="2"/>
        <v>0</v>
      </c>
      <c r="O7" s="36">
        <v>536</v>
      </c>
      <c r="P7" s="44">
        <v>3.7836921296296291</v>
      </c>
      <c r="Q7" s="61">
        <v>0</v>
      </c>
      <c r="R7" s="61">
        <v>1</v>
      </c>
      <c r="S7" s="61">
        <v>0</v>
      </c>
      <c r="T7" s="12"/>
    </row>
    <row r="8" spans="1:20" customFormat="1" x14ac:dyDescent="0.35">
      <c r="A8" s="2" t="s">
        <v>425</v>
      </c>
      <c r="B8" s="2"/>
      <c r="C8" s="3"/>
      <c r="D8" s="2" t="s">
        <v>55</v>
      </c>
      <c r="E8" s="2" t="s">
        <v>408</v>
      </c>
      <c r="F8" s="36">
        <v>13</v>
      </c>
      <c r="G8" s="36"/>
      <c r="H8" s="36"/>
      <c r="I8" s="36">
        <v>6</v>
      </c>
      <c r="J8" s="36">
        <v>1</v>
      </c>
      <c r="K8" s="36">
        <v>0</v>
      </c>
      <c r="L8" s="37">
        <f t="shared" si="0"/>
        <v>0.3</v>
      </c>
      <c r="M8" s="36">
        <f t="shared" si="1"/>
        <v>0</v>
      </c>
      <c r="N8" s="38">
        <f t="shared" si="2"/>
        <v>0</v>
      </c>
      <c r="O8" s="36">
        <v>496</v>
      </c>
      <c r="P8" s="44">
        <v>4.3458564814814817</v>
      </c>
      <c r="Q8" s="61">
        <v>0</v>
      </c>
      <c r="R8" s="61">
        <v>1</v>
      </c>
      <c r="S8" s="61">
        <v>0</v>
      </c>
      <c r="T8" s="12"/>
    </row>
    <row r="9" spans="1:20" customFormat="1" x14ac:dyDescent="0.35">
      <c r="A9" s="2" t="s">
        <v>425</v>
      </c>
      <c r="B9" s="2"/>
      <c r="C9" s="3"/>
      <c r="D9" s="2" t="s">
        <v>56</v>
      </c>
      <c r="E9" s="2" t="s">
        <v>408</v>
      </c>
      <c r="F9" s="36">
        <v>18</v>
      </c>
      <c r="G9" s="36"/>
      <c r="H9" s="36"/>
      <c r="I9" s="36">
        <v>14</v>
      </c>
      <c r="J9" s="36">
        <v>4</v>
      </c>
      <c r="K9" s="36">
        <v>0</v>
      </c>
      <c r="L9" s="37">
        <f t="shared" si="0"/>
        <v>0.7</v>
      </c>
      <c r="M9" s="36">
        <f t="shared" si="1"/>
        <v>0</v>
      </c>
      <c r="N9" s="38">
        <f t="shared" si="2"/>
        <v>0</v>
      </c>
      <c r="O9" s="36">
        <v>156</v>
      </c>
      <c r="P9" s="44">
        <v>5.2076736111111099</v>
      </c>
      <c r="Q9" s="61">
        <v>1</v>
      </c>
      <c r="R9" s="61">
        <v>0</v>
      </c>
      <c r="S9" s="61">
        <v>0</v>
      </c>
      <c r="T9" s="12"/>
    </row>
    <row r="10" spans="1:20" customFormat="1" x14ac:dyDescent="0.35">
      <c r="A10" s="2" t="s">
        <v>425</v>
      </c>
      <c r="B10" s="2"/>
      <c r="C10" s="3"/>
      <c r="D10" s="2" t="s">
        <v>57</v>
      </c>
      <c r="E10" s="2" t="s">
        <v>408</v>
      </c>
      <c r="F10" s="36">
        <v>13</v>
      </c>
      <c r="G10" s="36"/>
      <c r="H10" s="36"/>
      <c r="I10" s="36">
        <v>6</v>
      </c>
      <c r="J10" s="36">
        <v>1</v>
      </c>
      <c r="K10" s="36">
        <v>0</v>
      </c>
      <c r="L10" s="37">
        <f t="shared" si="0"/>
        <v>0.3</v>
      </c>
      <c r="M10" s="36">
        <f t="shared" si="1"/>
        <v>0</v>
      </c>
      <c r="N10" s="38">
        <f t="shared" si="2"/>
        <v>0</v>
      </c>
      <c r="O10" s="36">
        <v>358</v>
      </c>
      <c r="P10" s="44">
        <v>5.4045949074074073</v>
      </c>
      <c r="Q10" s="61">
        <v>0</v>
      </c>
      <c r="R10" s="61">
        <v>0</v>
      </c>
      <c r="S10" s="61">
        <v>0</v>
      </c>
      <c r="T10" s="12"/>
    </row>
    <row r="11" spans="1:20" customFormat="1" x14ac:dyDescent="0.35">
      <c r="A11" s="2" t="s">
        <v>425</v>
      </c>
      <c r="B11" s="2"/>
      <c r="C11" s="3"/>
      <c r="D11" s="2" t="s">
        <v>58</v>
      </c>
      <c r="E11" s="2" t="s">
        <v>408</v>
      </c>
      <c r="F11" s="36">
        <v>15</v>
      </c>
      <c r="G11" s="36"/>
      <c r="H11" s="36"/>
      <c r="I11" s="36">
        <v>11</v>
      </c>
      <c r="J11" s="36">
        <v>0</v>
      </c>
      <c r="K11" s="36">
        <v>0</v>
      </c>
      <c r="L11" s="37">
        <f t="shared" si="0"/>
        <v>0.55000000000000004</v>
      </c>
      <c r="M11" s="36">
        <f t="shared" si="1"/>
        <v>0</v>
      </c>
      <c r="N11" s="38">
        <f t="shared" si="2"/>
        <v>0</v>
      </c>
      <c r="O11" s="36">
        <v>370</v>
      </c>
      <c r="P11" s="44">
        <v>3.462951388888889</v>
      </c>
      <c r="Q11" s="61">
        <v>0</v>
      </c>
      <c r="R11" s="61">
        <v>1</v>
      </c>
      <c r="S11" s="61">
        <v>0</v>
      </c>
      <c r="T11" s="12"/>
    </row>
    <row r="12" spans="1:20" customFormat="1" x14ac:dyDescent="0.35">
      <c r="A12" s="2" t="s">
        <v>425</v>
      </c>
      <c r="B12" s="2"/>
      <c r="C12" s="3"/>
      <c r="D12" s="2" t="s">
        <v>59</v>
      </c>
      <c r="E12" s="2" t="s">
        <v>408</v>
      </c>
      <c r="F12" s="36">
        <v>25</v>
      </c>
      <c r="G12" s="36"/>
      <c r="H12" s="36"/>
      <c r="I12" s="36">
        <v>17</v>
      </c>
      <c r="J12" s="36">
        <v>7</v>
      </c>
      <c r="K12" s="36">
        <v>1</v>
      </c>
      <c r="L12" s="37">
        <f t="shared" si="0"/>
        <v>0.85</v>
      </c>
      <c r="M12" s="36">
        <f t="shared" si="1"/>
        <v>1</v>
      </c>
      <c r="N12" s="38">
        <f t="shared" si="2"/>
        <v>17</v>
      </c>
      <c r="O12" s="36">
        <v>136</v>
      </c>
      <c r="P12" s="44">
        <v>5.1839004629629626</v>
      </c>
      <c r="Q12" s="61">
        <v>0</v>
      </c>
      <c r="R12" s="61">
        <v>0</v>
      </c>
      <c r="S12" s="61">
        <v>0</v>
      </c>
      <c r="T12" s="12"/>
    </row>
    <row r="13" spans="1:20" customFormat="1" x14ac:dyDescent="0.35">
      <c r="A13" s="2" t="s">
        <v>426</v>
      </c>
      <c r="B13" s="2"/>
      <c r="C13" s="3"/>
      <c r="D13" s="2" t="s">
        <v>60</v>
      </c>
      <c r="E13" s="2" t="s">
        <v>408</v>
      </c>
      <c r="F13" s="36">
        <v>12</v>
      </c>
      <c r="G13" s="36"/>
      <c r="H13" s="36"/>
      <c r="I13" s="36">
        <v>5</v>
      </c>
      <c r="J13" s="36">
        <v>1</v>
      </c>
      <c r="K13" s="36">
        <v>0</v>
      </c>
      <c r="L13" s="37">
        <f t="shared" si="0"/>
        <v>0.25</v>
      </c>
      <c r="M13" s="36">
        <f t="shared" si="1"/>
        <v>0</v>
      </c>
      <c r="N13" s="38">
        <f t="shared" si="2"/>
        <v>0</v>
      </c>
      <c r="O13" s="36">
        <v>494</v>
      </c>
      <c r="P13" s="44">
        <v>5.1389699074074073</v>
      </c>
      <c r="Q13" s="61">
        <v>1</v>
      </c>
      <c r="R13" s="61">
        <v>1</v>
      </c>
      <c r="S13" s="61">
        <v>0</v>
      </c>
      <c r="T13" s="12"/>
    </row>
    <row r="14" spans="1:20" customFormat="1" x14ac:dyDescent="0.35">
      <c r="A14" s="2" t="s">
        <v>426</v>
      </c>
      <c r="B14" s="2"/>
      <c r="C14" s="3"/>
      <c r="D14" s="2" t="s">
        <v>61</v>
      </c>
      <c r="E14" s="2" t="s">
        <v>408</v>
      </c>
      <c r="F14" s="36">
        <v>1</v>
      </c>
      <c r="G14" s="36"/>
      <c r="H14" s="36"/>
      <c r="I14" s="36">
        <v>2</v>
      </c>
      <c r="J14" s="36">
        <v>0</v>
      </c>
      <c r="K14" s="36">
        <v>2</v>
      </c>
      <c r="L14" s="37">
        <f t="shared" si="0"/>
        <v>0.1</v>
      </c>
      <c r="M14" s="36">
        <f t="shared" si="1"/>
        <v>2</v>
      </c>
      <c r="N14" s="38">
        <f t="shared" si="2"/>
        <v>1</v>
      </c>
      <c r="O14" s="36">
        <v>36</v>
      </c>
      <c r="P14" s="44">
        <v>0.9393055555555555</v>
      </c>
      <c r="Q14" s="61">
        <v>0</v>
      </c>
      <c r="R14" s="61">
        <v>0</v>
      </c>
      <c r="S14" s="61">
        <v>0</v>
      </c>
      <c r="T14" s="12"/>
    </row>
    <row r="15" spans="1:20" customFormat="1" x14ac:dyDescent="0.35">
      <c r="A15" s="2" t="s">
        <v>426</v>
      </c>
      <c r="B15" s="2"/>
      <c r="C15" s="3"/>
      <c r="D15" s="2" t="s">
        <v>62</v>
      </c>
      <c r="E15" s="2" t="s">
        <v>408</v>
      </c>
      <c r="F15" s="36">
        <v>12</v>
      </c>
      <c r="G15" s="36"/>
      <c r="H15" s="36"/>
      <c r="I15" s="36">
        <v>6</v>
      </c>
      <c r="J15" s="36">
        <v>0</v>
      </c>
      <c r="K15" s="36">
        <v>0</v>
      </c>
      <c r="L15" s="37">
        <f t="shared" si="0"/>
        <v>0.3</v>
      </c>
      <c r="M15" s="36">
        <f t="shared" si="1"/>
        <v>0</v>
      </c>
      <c r="N15" s="38">
        <f t="shared" si="2"/>
        <v>0</v>
      </c>
      <c r="O15" s="36">
        <v>603</v>
      </c>
      <c r="P15" s="44">
        <v>5.1713773148148139</v>
      </c>
      <c r="Q15" s="61">
        <v>0</v>
      </c>
      <c r="R15" s="61">
        <v>3</v>
      </c>
      <c r="S15" s="61">
        <v>1</v>
      </c>
      <c r="T15" s="12"/>
    </row>
    <row r="16" spans="1:20" customFormat="1" x14ac:dyDescent="0.35">
      <c r="A16" s="2" t="s">
        <v>427</v>
      </c>
      <c r="B16" s="2"/>
      <c r="C16" s="3"/>
      <c r="D16" s="2" t="s">
        <v>63</v>
      </c>
      <c r="E16" s="2" t="s">
        <v>408</v>
      </c>
      <c r="F16" s="36">
        <v>18</v>
      </c>
      <c r="G16" s="36"/>
      <c r="H16" s="36"/>
      <c r="I16" s="36">
        <v>10</v>
      </c>
      <c r="J16" s="36">
        <v>0</v>
      </c>
      <c r="K16" s="36">
        <v>0</v>
      </c>
      <c r="L16" s="37">
        <f t="shared" si="0"/>
        <v>0.5</v>
      </c>
      <c r="M16" s="36">
        <f t="shared" si="1"/>
        <v>0</v>
      </c>
      <c r="N16" s="38">
        <f t="shared" si="2"/>
        <v>0</v>
      </c>
      <c r="O16" s="36">
        <v>398</v>
      </c>
      <c r="P16" s="44">
        <v>4.7390740740740736</v>
      </c>
      <c r="Q16" s="61">
        <v>0</v>
      </c>
      <c r="R16" s="61">
        <v>1</v>
      </c>
      <c r="S16" s="61">
        <v>0</v>
      </c>
      <c r="T16" s="12"/>
    </row>
    <row r="17" spans="1:20" customFormat="1" x14ac:dyDescent="0.35">
      <c r="A17" s="2" t="s">
        <v>427</v>
      </c>
      <c r="B17" s="2"/>
      <c r="C17" s="3"/>
      <c r="D17" s="2" t="s">
        <v>64</v>
      </c>
      <c r="E17" s="2" t="s">
        <v>408</v>
      </c>
      <c r="F17" s="36">
        <v>14</v>
      </c>
      <c r="G17" s="36"/>
      <c r="H17" s="36"/>
      <c r="I17" s="36">
        <v>9</v>
      </c>
      <c r="J17" s="36">
        <v>0</v>
      </c>
      <c r="K17" s="36">
        <v>1</v>
      </c>
      <c r="L17" s="37">
        <f t="shared" si="0"/>
        <v>0.45</v>
      </c>
      <c r="M17" s="36">
        <f t="shared" si="1"/>
        <v>1</v>
      </c>
      <c r="N17" s="38">
        <f t="shared" si="2"/>
        <v>9</v>
      </c>
      <c r="O17" s="36">
        <v>555</v>
      </c>
      <c r="P17" s="44">
        <v>4.2831481481481486</v>
      </c>
      <c r="Q17" s="61">
        <v>0</v>
      </c>
      <c r="R17" s="61">
        <v>0</v>
      </c>
      <c r="S17" s="61">
        <v>0</v>
      </c>
      <c r="T17" s="12"/>
    </row>
    <row r="18" spans="1:20" customFormat="1" x14ac:dyDescent="0.35">
      <c r="A18" s="2" t="s">
        <v>427</v>
      </c>
      <c r="B18" s="2"/>
      <c r="C18" s="3"/>
      <c r="D18" s="2" t="s">
        <v>49</v>
      </c>
      <c r="E18" s="2" t="s">
        <v>408</v>
      </c>
      <c r="F18" s="36">
        <v>13</v>
      </c>
      <c r="G18" s="36"/>
      <c r="H18" s="36"/>
      <c r="I18" s="36">
        <v>11</v>
      </c>
      <c r="J18" s="36">
        <v>0</v>
      </c>
      <c r="K18" s="36">
        <v>0</v>
      </c>
      <c r="L18" s="37">
        <f t="shared" si="0"/>
        <v>0.55000000000000004</v>
      </c>
      <c r="M18" s="36">
        <f t="shared" si="1"/>
        <v>0</v>
      </c>
      <c r="N18" s="38">
        <f t="shared" si="2"/>
        <v>0</v>
      </c>
      <c r="O18" s="36">
        <v>375</v>
      </c>
      <c r="P18" s="44">
        <v>4.9018634259259262</v>
      </c>
      <c r="Q18" s="61">
        <v>1</v>
      </c>
      <c r="R18" s="61">
        <v>0</v>
      </c>
      <c r="S18" s="61">
        <v>1</v>
      </c>
      <c r="T18" s="12"/>
    </row>
    <row r="19" spans="1:20" customFormat="1" x14ac:dyDescent="0.35">
      <c r="A19" s="2" t="s">
        <v>428</v>
      </c>
      <c r="B19" s="2"/>
      <c r="C19" s="3"/>
      <c r="D19" s="2" t="s">
        <v>65</v>
      </c>
      <c r="E19" s="2" t="s">
        <v>409</v>
      </c>
      <c r="F19" s="36">
        <v>0</v>
      </c>
      <c r="G19" s="36"/>
      <c r="H19" s="36"/>
      <c r="I19" s="36">
        <v>0</v>
      </c>
      <c r="J19" s="36">
        <v>0</v>
      </c>
      <c r="K19" s="36">
        <v>0</v>
      </c>
      <c r="L19" s="37">
        <f t="shared" si="0"/>
        <v>0</v>
      </c>
      <c r="M19" s="36">
        <f t="shared" si="1"/>
        <v>0</v>
      </c>
      <c r="N19" s="38">
        <f t="shared" si="2"/>
        <v>0</v>
      </c>
      <c r="O19" s="36">
        <v>0</v>
      </c>
      <c r="P19" s="44">
        <v>6.4120370370370373E-3</v>
      </c>
      <c r="Q19" s="61">
        <v>0</v>
      </c>
      <c r="R19" s="61">
        <v>0</v>
      </c>
      <c r="S19" s="61">
        <v>0</v>
      </c>
      <c r="T19" s="12"/>
    </row>
    <row r="20" spans="1:20" customFormat="1" x14ac:dyDescent="0.35">
      <c r="A20" s="2" t="s">
        <v>428</v>
      </c>
      <c r="B20" s="2"/>
      <c r="C20" s="3"/>
      <c r="D20" s="2" t="s">
        <v>66</v>
      </c>
      <c r="E20" s="2" t="s">
        <v>409</v>
      </c>
      <c r="F20" s="36">
        <v>9</v>
      </c>
      <c r="G20" s="36"/>
      <c r="H20" s="36"/>
      <c r="I20" s="36">
        <v>6</v>
      </c>
      <c r="J20" s="36">
        <v>0</v>
      </c>
      <c r="K20" s="36">
        <v>1</v>
      </c>
      <c r="L20" s="37">
        <f t="shared" si="0"/>
        <v>0.3</v>
      </c>
      <c r="M20" s="36">
        <f t="shared" si="1"/>
        <v>1</v>
      </c>
      <c r="N20" s="38">
        <f t="shared" si="2"/>
        <v>6</v>
      </c>
      <c r="O20" s="36">
        <v>198</v>
      </c>
      <c r="P20" s="44">
        <v>4.3360532407407399</v>
      </c>
      <c r="Q20" s="61">
        <v>0</v>
      </c>
      <c r="R20" s="61">
        <v>0</v>
      </c>
      <c r="S20" s="61">
        <v>0</v>
      </c>
      <c r="T20" s="12"/>
    </row>
    <row r="21" spans="1:20" customFormat="1" x14ac:dyDescent="0.35">
      <c r="A21" s="2" t="s">
        <v>428</v>
      </c>
      <c r="B21" s="2"/>
      <c r="C21" s="3"/>
      <c r="D21" s="2" t="s">
        <v>67</v>
      </c>
      <c r="E21" s="2" t="s">
        <v>409</v>
      </c>
      <c r="F21" s="36">
        <v>3</v>
      </c>
      <c r="G21" s="36"/>
      <c r="H21" s="36"/>
      <c r="I21" s="36">
        <v>3</v>
      </c>
      <c r="J21" s="36">
        <v>0</v>
      </c>
      <c r="K21" s="36">
        <v>0</v>
      </c>
      <c r="L21" s="37">
        <f t="shared" si="0"/>
        <v>0.15</v>
      </c>
      <c r="M21" s="36">
        <f t="shared" si="1"/>
        <v>0</v>
      </c>
      <c r="N21" s="38">
        <f t="shared" si="2"/>
        <v>0</v>
      </c>
      <c r="O21" s="36">
        <v>74</v>
      </c>
      <c r="P21" s="44">
        <v>3.6128009259259262</v>
      </c>
      <c r="Q21" s="61">
        <v>0</v>
      </c>
      <c r="R21" s="61">
        <v>0</v>
      </c>
      <c r="S21" s="61">
        <v>1</v>
      </c>
      <c r="T21" s="12"/>
    </row>
    <row r="22" spans="1:20" customFormat="1" x14ac:dyDescent="0.35">
      <c r="A22" s="2" t="s">
        <v>428</v>
      </c>
      <c r="B22" s="2"/>
      <c r="C22" s="3"/>
      <c r="D22" s="2" t="s">
        <v>68</v>
      </c>
      <c r="E22" s="2" t="s">
        <v>409</v>
      </c>
      <c r="F22" s="36">
        <v>10</v>
      </c>
      <c r="G22" s="36"/>
      <c r="H22" s="36"/>
      <c r="I22" s="36">
        <v>3</v>
      </c>
      <c r="J22" s="36">
        <v>1</v>
      </c>
      <c r="K22" s="36">
        <v>0</v>
      </c>
      <c r="L22" s="37">
        <f t="shared" si="0"/>
        <v>0.15</v>
      </c>
      <c r="M22" s="36">
        <f t="shared" si="1"/>
        <v>0</v>
      </c>
      <c r="N22" s="38">
        <f t="shared" si="2"/>
        <v>0</v>
      </c>
      <c r="O22" s="36">
        <v>305</v>
      </c>
      <c r="P22" s="44">
        <v>4.5007638888888888</v>
      </c>
      <c r="Q22" s="61">
        <v>0</v>
      </c>
      <c r="R22" s="61">
        <v>0</v>
      </c>
      <c r="S22" s="61">
        <v>1</v>
      </c>
      <c r="T22" s="12"/>
    </row>
    <row r="23" spans="1:20" customFormat="1" x14ac:dyDescent="0.35">
      <c r="A23" s="2" t="s">
        <v>428</v>
      </c>
      <c r="B23" s="2"/>
      <c r="C23" s="3"/>
      <c r="D23" s="2" t="s">
        <v>69</v>
      </c>
      <c r="E23" s="2" t="s">
        <v>409</v>
      </c>
      <c r="F23" s="36">
        <v>7</v>
      </c>
      <c r="G23" s="36"/>
      <c r="H23" s="36"/>
      <c r="I23" s="36">
        <v>5</v>
      </c>
      <c r="J23" s="36">
        <v>0</v>
      </c>
      <c r="K23" s="36">
        <v>0</v>
      </c>
      <c r="L23" s="37">
        <f t="shared" si="0"/>
        <v>0.25</v>
      </c>
      <c r="M23" s="36">
        <f t="shared" si="1"/>
        <v>0</v>
      </c>
      <c r="N23" s="38">
        <f t="shared" si="2"/>
        <v>0</v>
      </c>
      <c r="O23" s="36">
        <v>165</v>
      </c>
      <c r="P23" s="44">
        <v>3.9670949074074073</v>
      </c>
      <c r="Q23" s="61">
        <v>0</v>
      </c>
      <c r="R23" s="61">
        <v>0</v>
      </c>
      <c r="S23" s="61">
        <v>0</v>
      </c>
      <c r="T23" s="12"/>
    </row>
    <row r="24" spans="1:20" customFormat="1" x14ac:dyDescent="0.35">
      <c r="A24" s="2" t="s">
        <v>428</v>
      </c>
      <c r="B24" s="2"/>
      <c r="C24" s="3"/>
      <c r="D24" s="2" t="s">
        <v>70</v>
      </c>
      <c r="E24" s="2" t="s">
        <v>409</v>
      </c>
      <c r="F24" s="36">
        <v>9</v>
      </c>
      <c r="G24" s="36"/>
      <c r="H24" s="36"/>
      <c r="I24" s="36">
        <v>6</v>
      </c>
      <c r="J24" s="36">
        <v>0</v>
      </c>
      <c r="K24" s="36">
        <v>0</v>
      </c>
      <c r="L24" s="37">
        <f t="shared" si="0"/>
        <v>0.3</v>
      </c>
      <c r="M24" s="36">
        <f t="shared" si="1"/>
        <v>0</v>
      </c>
      <c r="N24" s="38">
        <f t="shared" si="2"/>
        <v>0</v>
      </c>
      <c r="O24" s="36">
        <v>489</v>
      </c>
      <c r="P24" s="44">
        <v>4.398842592592592</v>
      </c>
      <c r="Q24" s="61">
        <v>0</v>
      </c>
      <c r="R24" s="61">
        <v>0</v>
      </c>
      <c r="S24" s="61">
        <v>0</v>
      </c>
      <c r="T24" s="12"/>
    </row>
    <row r="25" spans="1:20" customFormat="1" x14ac:dyDescent="0.35">
      <c r="A25" s="2" t="s">
        <v>428</v>
      </c>
      <c r="B25" s="2"/>
      <c r="C25" s="3"/>
      <c r="D25" s="2" t="s">
        <v>71</v>
      </c>
      <c r="E25" s="2" t="s">
        <v>409</v>
      </c>
      <c r="F25" s="36">
        <v>12</v>
      </c>
      <c r="G25" s="36"/>
      <c r="H25" s="36"/>
      <c r="I25" s="36">
        <v>8</v>
      </c>
      <c r="J25" s="36">
        <v>1</v>
      </c>
      <c r="K25" s="36">
        <v>0</v>
      </c>
      <c r="L25" s="37">
        <f t="shared" si="0"/>
        <v>0.4</v>
      </c>
      <c r="M25" s="36">
        <f t="shared" si="1"/>
        <v>0</v>
      </c>
      <c r="N25" s="38">
        <f t="shared" si="2"/>
        <v>0</v>
      </c>
      <c r="O25" s="36">
        <v>867</v>
      </c>
      <c r="P25" s="44">
        <v>4.9279976851851846</v>
      </c>
      <c r="Q25" s="61">
        <v>0</v>
      </c>
      <c r="R25" s="61">
        <v>0</v>
      </c>
      <c r="S25" s="61">
        <v>2</v>
      </c>
      <c r="T25" s="12"/>
    </row>
    <row r="26" spans="1:20" customFormat="1" x14ac:dyDescent="0.35">
      <c r="A26" s="2" t="s">
        <v>429</v>
      </c>
      <c r="B26" s="2"/>
      <c r="C26" s="3"/>
      <c r="D26" s="2" t="s">
        <v>72</v>
      </c>
      <c r="E26" s="2" t="s">
        <v>409</v>
      </c>
      <c r="F26" s="36">
        <v>6</v>
      </c>
      <c r="G26" s="36"/>
      <c r="H26" s="36"/>
      <c r="I26" s="36">
        <v>1</v>
      </c>
      <c r="J26" s="36">
        <v>0</v>
      </c>
      <c r="K26" s="36">
        <v>0</v>
      </c>
      <c r="L26" s="37">
        <f t="shared" si="0"/>
        <v>0.05</v>
      </c>
      <c r="M26" s="36">
        <f t="shared" si="1"/>
        <v>0</v>
      </c>
      <c r="N26" s="38">
        <f t="shared" si="2"/>
        <v>0</v>
      </c>
      <c r="O26" s="36">
        <v>119</v>
      </c>
      <c r="P26" s="44">
        <v>2.86619212962963</v>
      </c>
      <c r="Q26" s="61">
        <v>0</v>
      </c>
      <c r="R26" s="61">
        <v>0</v>
      </c>
      <c r="S26" s="61">
        <v>0</v>
      </c>
      <c r="T26" s="12"/>
    </row>
    <row r="27" spans="1:20" customFormat="1" x14ac:dyDescent="0.35">
      <c r="A27" s="2" t="s">
        <v>429</v>
      </c>
      <c r="B27" s="2"/>
      <c r="C27" s="3"/>
      <c r="D27" s="2" t="s">
        <v>73</v>
      </c>
      <c r="E27" s="2" t="s">
        <v>409</v>
      </c>
      <c r="F27" s="36">
        <v>5</v>
      </c>
      <c r="G27" s="36"/>
      <c r="H27" s="36"/>
      <c r="I27" s="36">
        <v>2</v>
      </c>
      <c r="J27" s="36">
        <v>0</v>
      </c>
      <c r="K27" s="36">
        <v>1</v>
      </c>
      <c r="L27" s="37">
        <f t="shared" si="0"/>
        <v>0.1</v>
      </c>
      <c r="M27" s="36">
        <f t="shared" si="1"/>
        <v>1</v>
      </c>
      <c r="N27" s="38">
        <f t="shared" si="2"/>
        <v>2</v>
      </c>
      <c r="O27" s="36">
        <v>61</v>
      </c>
      <c r="P27" s="44">
        <v>2.2928935185185182</v>
      </c>
      <c r="Q27" s="61">
        <v>0</v>
      </c>
      <c r="R27" s="61">
        <v>1</v>
      </c>
      <c r="S27" s="61">
        <v>1</v>
      </c>
      <c r="T27" s="12"/>
    </row>
    <row r="28" spans="1:20" customFormat="1" x14ac:dyDescent="0.35">
      <c r="A28" s="2" t="s">
        <v>429</v>
      </c>
      <c r="B28" s="2"/>
      <c r="C28" s="3"/>
      <c r="D28" s="2" t="s">
        <v>74</v>
      </c>
      <c r="E28" s="2" t="s">
        <v>409</v>
      </c>
      <c r="F28" s="36">
        <v>5</v>
      </c>
      <c r="G28" s="36"/>
      <c r="H28" s="36"/>
      <c r="I28" s="36">
        <v>2</v>
      </c>
      <c r="J28" s="36">
        <v>0</v>
      </c>
      <c r="K28" s="36">
        <v>0</v>
      </c>
      <c r="L28" s="37">
        <f t="shared" si="0"/>
        <v>0.1</v>
      </c>
      <c r="M28" s="36">
        <f t="shared" si="1"/>
        <v>0</v>
      </c>
      <c r="N28" s="38">
        <f t="shared" si="2"/>
        <v>0</v>
      </c>
      <c r="O28" s="36">
        <v>391</v>
      </c>
      <c r="P28" s="44">
        <v>4.0139004629629627</v>
      </c>
      <c r="Q28" s="61">
        <v>0</v>
      </c>
      <c r="R28" s="61">
        <v>0</v>
      </c>
      <c r="S28" s="61">
        <v>2</v>
      </c>
      <c r="T28" s="12"/>
    </row>
    <row r="29" spans="1:20" customFormat="1" x14ac:dyDescent="0.35">
      <c r="A29" s="2" t="s">
        <v>429</v>
      </c>
      <c r="B29" s="2"/>
      <c r="C29" s="3"/>
      <c r="D29" s="2" t="s">
        <v>75</v>
      </c>
      <c r="E29" s="2" t="s">
        <v>409</v>
      </c>
      <c r="F29" s="36">
        <v>27</v>
      </c>
      <c r="G29" s="36"/>
      <c r="H29" s="36"/>
      <c r="I29" s="36">
        <v>13</v>
      </c>
      <c r="J29" s="36">
        <v>0</v>
      </c>
      <c r="K29" s="36">
        <v>0</v>
      </c>
      <c r="L29" s="37">
        <f t="shared" si="0"/>
        <v>0.65</v>
      </c>
      <c r="M29" s="36">
        <f t="shared" si="1"/>
        <v>0</v>
      </c>
      <c r="N29" s="38">
        <f t="shared" si="2"/>
        <v>0</v>
      </c>
      <c r="O29" s="36">
        <v>495</v>
      </c>
      <c r="P29" s="44">
        <v>5.2800810185185183</v>
      </c>
      <c r="Q29" s="61">
        <v>2</v>
      </c>
      <c r="R29" s="61">
        <v>0</v>
      </c>
      <c r="S29" s="61">
        <v>1</v>
      </c>
      <c r="T29" s="12"/>
    </row>
    <row r="30" spans="1:20" customFormat="1" x14ac:dyDescent="0.35">
      <c r="A30" s="2" t="s">
        <v>429</v>
      </c>
      <c r="B30" s="2"/>
      <c r="C30" s="3"/>
      <c r="D30" s="2" t="s">
        <v>76</v>
      </c>
      <c r="E30" s="2" t="s">
        <v>409</v>
      </c>
      <c r="F30" s="36">
        <v>9</v>
      </c>
      <c r="G30" s="36"/>
      <c r="H30" s="36"/>
      <c r="I30" s="36">
        <v>3</v>
      </c>
      <c r="J30" s="36">
        <v>0</v>
      </c>
      <c r="K30" s="36">
        <v>1</v>
      </c>
      <c r="L30" s="37">
        <f t="shared" si="0"/>
        <v>0.15</v>
      </c>
      <c r="M30" s="36">
        <f t="shared" si="1"/>
        <v>1</v>
      </c>
      <c r="N30" s="38">
        <f t="shared" si="2"/>
        <v>3</v>
      </c>
      <c r="O30" s="36">
        <v>109</v>
      </c>
      <c r="P30" s="44">
        <v>2.7324537037037038</v>
      </c>
      <c r="Q30" s="61">
        <v>0</v>
      </c>
      <c r="R30" s="61">
        <v>1</v>
      </c>
      <c r="S30" s="61">
        <v>2</v>
      </c>
      <c r="T30" s="12"/>
    </row>
    <row r="31" spans="1:20" customFormat="1" x14ac:dyDescent="0.35">
      <c r="A31" s="2" t="s">
        <v>429</v>
      </c>
      <c r="B31" s="2"/>
      <c r="C31" s="3"/>
      <c r="D31" s="2" t="s">
        <v>77</v>
      </c>
      <c r="E31" s="2" t="s">
        <v>409</v>
      </c>
      <c r="F31" s="36">
        <v>2</v>
      </c>
      <c r="G31" s="36"/>
      <c r="H31" s="36"/>
      <c r="I31" s="36">
        <v>2</v>
      </c>
      <c r="J31" s="36">
        <v>1</v>
      </c>
      <c r="K31" s="36">
        <v>0</v>
      </c>
      <c r="L31" s="37">
        <f t="shared" si="0"/>
        <v>0.1</v>
      </c>
      <c r="M31" s="36">
        <f t="shared" si="1"/>
        <v>0</v>
      </c>
      <c r="N31" s="38">
        <f t="shared" si="2"/>
        <v>0</v>
      </c>
      <c r="O31" s="36">
        <v>35</v>
      </c>
      <c r="P31" s="44">
        <v>0.83324074074074073</v>
      </c>
      <c r="Q31" s="61">
        <v>1</v>
      </c>
      <c r="R31" s="61">
        <v>0</v>
      </c>
      <c r="S31" s="61">
        <v>0</v>
      </c>
      <c r="T31" s="12"/>
    </row>
    <row r="32" spans="1:20" customFormat="1" x14ac:dyDescent="0.35">
      <c r="A32" s="2" t="s">
        <v>429</v>
      </c>
      <c r="B32" s="2"/>
      <c r="C32" s="3"/>
      <c r="D32" s="2" t="s">
        <v>78</v>
      </c>
      <c r="E32" s="2" t="s">
        <v>409</v>
      </c>
      <c r="F32" s="36">
        <v>5</v>
      </c>
      <c r="G32" s="36"/>
      <c r="H32" s="36"/>
      <c r="I32" s="36">
        <v>0</v>
      </c>
      <c r="J32" s="36">
        <v>0</v>
      </c>
      <c r="K32" s="36">
        <v>0</v>
      </c>
      <c r="L32" s="37">
        <f t="shared" si="0"/>
        <v>0</v>
      </c>
      <c r="M32" s="36">
        <f t="shared" si="1"/>
        <v>0</v>
      </c>
      <c r="N32" s="38">
        <f t="shared" si="2"/>
        <v>0</v>
      </c>
      <c r="O32" s="36">
        <v>523</v>
      </c>
      <c r="P32" s="44">
        <v>4.6732291666666672</v>
      </c>
      <c r="Q32" s="61">
        <v>0</v>
      </c>
      <c r="R32" s="61">
        <v>1</v>
      </c>
      <c r="S32" s="61">
        <v>1</v>
      </c>
      <c r="T32" s="12"/>
    </row>
    <row r="33" spans="1:20" customFormat="1" x14ac:dyDescent="0.35">
      <c r="A33" s="2" t="s">
        <v>429</v>
      </c>
      <c r="B33" s="2"/>
      <c r="C33" s="3"/>
      <c r="D33" s="2" t="s">
        <v>79</v>
      </c>
      <c r="E33" s="2" t="s">
        <v>409</v>
      </c>
      <c r="F33" s="36">
        <v>7</v>
      </c>
      <c r="G33" s="36"/>
      <c r="H33" s="36"/>
      <c r="I33" s="36">
        <v>0</v>
      </c>
      <c r="J33" s="36">
        <v>0</v>
      </c>
      <c r="K33" s="36">
        <v>0</v>
      </c>
      <c r="L33" s="37">
        <f t="shared" si="0"/>
        <v>0</v>
      </c>
      <c r="M33" s="36">
        <f t="shared" si="1"/>
        <v>0</v>
      </c>
      <c r="N33" s="38">
        <f t="shared" si="2"/>
        <v>0</v>
      </c>
      <c r="O33" s="36">
        <v>482</v>
      </c>
      <c r="P33" s="44">
        <v>4.1279513888888886</v>
      </c>
      <c r="Q33" s="61">
        <v>1</v>
      </c>
      <c r="R33" s="61">
        <v>0</v>
      </c>
      <c r="S33" s="61">
        <v>1</v>
      </c>
      <c r="T33" s="12"/>
    </row>
    <row r="34" spans="1:20" customFormat="1" x14ac:dyDescent="0.35">
      <c r="A34" s="2" t="s">
        <v>429</v>
      </c>
      <c r="B34" s="2"/>
      <c r="C34" s="3"/>
      <c r="D34" s="2" t="s">
        <v>80</v>
      </c>
      <c r="E34" s="2" t="s">
        <v>409</v>
      </c>
      <c r="F34" s="36">
        <v>7</v>
      </c>
      <c r="G34" s="36"/>
      <c r="H34" s="36"/>
      <c r="I34" s="36">
        <v>4</v>
      </c>
      <c r="J34" s="36">
        <v>0</v>
      </c>
      <c r="K34" s="36">
        <v>0</v>
      </c>
      <c r="L34" s="37">
        <f t="shared" si="0"/>
        <v>0.2</v>
      </c>
      <c r="M34" s="36">
        <f t="shared" si="1"/>
        <v>0</v>
      </c>
      <c r="N34" s="38">
        <f t="shared" si="2"/>
        <v>0</v>
      </c>
      <c r="O34" s="36">
        <v>575</v>
      </c>
      <c r="P34" s="44">
        <v>5.014884259259258</v>
      </c>
      <c r="Q34" s="61">
        <v>0</v>
      </c>
      <c r="R34" s="61">
        <v>0</v>
      </c>
      <c r="S34" s="61">
        <v>1</v>
      </c>
      <c r="T34" s="12"/>
    </row>
    <row r="35" spans="1:20" customFormat="1" x14ac:dyDescent="0.35">
      <c r="A35" s="2" t="s">
        <v>429</v>
      </c>
      <c r="B35" s="2"/>
      <c r="C35" s="3"/>
      <c r="D35" s="2" t="s">
        <v>81</v>
      </c>
      <c r="E35" s="2" t="s">
        <v>409</v>
      </c>
      <c r="F35" s="36">
        <v>6</v>
      </c>
      <c r="G35" s="36"/>
      <c r="H35" s="36"/>
      <c r="I35" s="36">
        <v>4</v>
      </c>
      <c r="J35" s="36">
        <v>0</v>
      </c>
      <c r="K35" s="36">
        <v>0</v>
      </c>
      <c r="L35" s="37">
        <f t="shared" si="0"/>
        <v>0.2</v>
      </c>
      <c r="M35" s="36">
        <f t="shared" si="1"/>
        <v>0</v>
      </c>
      <c r="N35" s="38">
        <f t="shared" si="2"/>
        <v>0</v>
      </c>
      <c r="O35" s="36">
        <v>475</v>
      </c>
      <c r="P35" s="44">
        <v>5.3642939814814818</v>
      </c>
      <c r="Q35" s="61">
        <v>1</v>
      </c>
      <c r="R35" s="61">
        <v>0</v>
      </c>
      <c r="S35" s="61">
        <v>0</v>
      </c>
      <c r="T35" s="12"/>
    </row>
    <row r="36" spans="1:20" customFormat="1" x14ac:dyDescent="0.35">
      <c r="A36" s="2" t="s">
        <v>429</v>
      </c>
      <c r="B36" s="2"/>
      <c r="C36" s="3"/>
      <c r="D36" s="2" t="s">
        <v>82</v>
      </c>
      <c r="E36" s="2" t="s">
        <v>409</v>
      </c>
      <c r="F36" s="36">
        <v>10</v>
      </c>
      <c r="G36" s="36"/>
      <c r="H36" s="36"/>
      <c r="I36" s="36">
        <v>4</v>
      </c>
      <c r="J36" s="36">
        <v>0</v>
      </c>
      <c r="K36" s="36">
        <v>0</v>
      </c>
      <c r="L36" s="37">
        <f t="shared" si="0"/>
        <v>0.2</v>
      </c>
      <c r="M36" s="36">
        <f t="shared" si="1"/>
        <v>0</v>
      </c>
      <c r="N36" s="38">
        <f t="shared" si="2"/>
        <v>0</v>
      </c>
      <c r="O36" s="36">
        <v>621</v>
      </c>
      <c r="P36" s="44">
        <v>4.9347916666666665</v>
      </c>
      <c r="Q36" s="61">
        <v>1</v>
      </c>
      <c r="R36" s="61">
        <v>1</v>
      </c>
      <c r="S36" s="61">
        <v>0</v>
      </c>
      <c r="T36" s="12"/>
    </row>
    <row r="37" spans="1:20" customFormat="1" x14ac:dyDescent="0.35">
      <c r="A37" s="2" t="s">
        <v>410</v>
      </c>
      <c r="B37" s="2"/>
      <c r="C37" s="3"/>
      <c r="D37" s="2" t="s">
        <v>83</v>
      </c>
      <c r="E37" s="2" t="s">
        <v>410</v>
      </c>
      <c r="F37" s="36">
        <v>9</v>
      </c>
      <c r="G37" s="36"/>
      <c r="H37" s="36"/>
      <c r="I37" s="36">
        <v>4</v>
      </c>
      <c r="J37" s="36">
        <v>0</v>
      </c>
      <c r="K37" s="36">
        <v>0</v>
      </c>
      <c r="L37" s="37">
        <f t="shared" si="0"/>
        <v>0.2</v>
      </c>
      <c r="M37" s="36">
        <f t="shared" si="1"/>
        <v>0</v>
      </c>
      <c r="N37" s="38">
        <f t="shared" si="2"/>
        <v>0</v>
      </c>
      <c r="O37" s="36">
        <v>81</v>
      </c>
      <c r="P37" s="44">
        <v>4.6986226851851853</v>
      </c>
      <c r="Q37" s="61">
        <v>0</v>
      </c>
      <c r="R37" s="61">
        <v>0</v>
      </c>
      <c r="S37" s="61">
        <v>1</v>
      </c>
      <c r="T37" s="12"/>
    </row>
    <row r="38" spans="1:20" customFormat="1" x14ac:dyDescent="0.35">
      <c r="A38" s="2" t="s">
        <v>410</v>
      </c>
      <c r="B38" s="2"/>
      <c r="C38" s="3"/>
      <c r="D38" s="2" t="s">
        <v>84</v>
      </c>
      <c r="E38" s="2" t="s">
        <v>410</v>
      </c>
      <c r="F38" s="36">
        <v>4</v>
      </c>
      <c r="G38" s="36"/>
      <c r="H38" s="36"/>
      <c r="I38" s="36">
        <v>3</v>
      </c>
      <c r="J38" s="36">
        <v>0</v>
      </c>
      <c r="K38" s="36">
        <v>0</v>
      </c>
      <c r="L38" s="37">
        <f t="shared" si="0"/>
        <v>0.15</v>
      </c>
      <c r="M38" s="36">
        <f t="shared" si="1"/>
        <v>0</v>
      </c>
      <c r="N38" s="38">
        <f t="shared" si="2"/>
        <v>0</v>
      </c>
      <c r="O38" s="36">
        <v>33</v>
      </c>
      <c r="P38" s="44">
        <v>3.113912037037037</v>
      </c>
      <c r="Q38" s="61">
        <v>1</v>
      </c>
      <c r="R38" s="61">
        <v>0</v>
      </c>
      <c r="S38" s="61">
        <v>0</v>
      </c>
      <c r="T38" s="12"/>
    </row>
    <row r="39" spans="1:20" customFormat="1" x14ac:dyDescent="0.35">
      <c r="A39" s="2" t="s">
        <v>410</v>
      </c>
      <c r="B39" s="2"/>
      <c r="C39" s="3"/>
      <c r="D39" s="2" t="s">
        <v>85</v>
      </c>
      <c r="E39" s="2" t="s">
        <v>410</v>
      </c>
      <c r="F39" s="36">
        <v>0</v>
      </c>
      <c r="G39" s="36"/>
      <c r="H39" s="36"/>
      <c r="I39" s="36">
        <v>0</v>
      </c>
      <c r="J39" s="36">
        <v>0</v>
      </c>
      <c r="K39" s="36">
        <v>0</v>
      </c>
      <c r="L39" s="37">
        <f t="shared" si="0"/>
        <v>0</v>
      </c>
      <c r="M39" s="36">
        <f t="shared" si="1"/>
        <v>0</v>
      </c>
      <c r="N39" s="38">
        <f t="shared" si="2"/>
        <v>0</v>
      </c>
      <c r="O39" s="36">
        <v>0</v>
      </c>
      <c r="P39" s="44">
        <v>2.568287037037037E-2</v>
      </c>
      <c r="Q39" s="61">
        <v>0</v>
      </c>
      <c r="R39" s="61">
        <v>0</v>
      </c>
      <c r="S39" s="61">
        <v>0</v>
      </c>
      <c r="T39" s="12"/>
    </row>
    <row r="40" spans="1:20" customFormat="1" x14ac:dyDescent="0.35">
      <c r="A40" s="2" t="s">
        <v>410</v>
      </c>
      <c r="B40" s="2"/>
      <c r="C40" s="3"/>
      <c r="D40" s="2" t="s">
        <v>86</v>
      </c>
      <c r="E40" s="2" t="s">
        <v>410</v>
      </c>
      <c r="F40" s="36">
        <v>24</v>
      </c>
      <c r="G40" s="36"/>
      <c r="H40" s="36"/>
      <c r="I40" s="36">
        <v>19</v>
      </c>
      <c r="J40" s="36">
        <v>0</v>
      </c>
      <c r="K40" s="36">
        <v>0</v>
      </c>
      <c r="L40" s="37">
        <f t="shared" si="0"/>
        <v>0.95</v>
      </c>
      <c r="M40" s="36">
        <f t="shared" si="1"/>
        <v>0</v>
      </c>
      <c r="N40" s="38">
        <f t="shared" si="2"/>
        <v>0</v>
      </c>
      <c r="O40" s="36">
        <v>356</v>
      </c>
      <c r="P40" s="44">
        <v>4.2207754629629637</v>
      </c>
      <c r="Q40" s="61">
        <v>0</v>
      </c>
      <c r="R40" s="61">
        <v>0</v>
      </c>
      <c r="S40" s="61">
        <v>1</v>
      </c>
      <c r="T40" s="12"/>
    </row>
    <row r="41" spans="1:20" customFormat="1" x14ac:dyDescent="0.35">
      <c r="A41" s="2" t="s">
        <v>410</v>
      </c>
      <c r="B41" s="2"/>
      <c r="C41" s="3"/>
      <c r="D41" s="2" t="s">
        <v>87</v>
      </c>
      <c r="E41" s="2" t="s">
        <v>410</v>
      </c>
      <c r="F41" s="36">
        <v>0</v>
      </c>
      <c r="G41" s="36"/>
      <c r="H41" s="36"/>
      <c r="I41" s="36">
        <v>0</v>
      </c>
      <c r="J41" s="36">
        <v>0</v>
      </c>
      <c r="K41" s="36">
        <v>0</v>
      </c>
      <c r="L41" s="37">
        <f t="shared" si="0"/>
        <v>0</v>
      </c>
      <c r="M41" s="36">
        <f t="shared" si="1"/>
        <v>0</v>
      </c>
      <c r="N41" s="38">
        <f t="shared" si="2"/>
        <v>0</v>
      </c>
      <c r="O41" s="36">
        <v>0</v>
      </c>
      <c r="P41" s="44">
        <v>0</v>
      </c>
      <c r="Q41" s="61">
        <v>0</v>
      </c>
      <c r="R41" s="61">
        <v>0</v>
      </c>
      <c r="S41" s="61">
        <v>0</v>
      </c>
      <c r="T41" s="12"/>
    </row>
    <row r="42" spans="1:20" customFormat="1" x14ac:dyDescent="0.35">
      <c r="A42" s="2" t="s">
        <v>410</v>
      </c>
      <c r="B42" s="2"/>
      <c r="C42" s="3"/>
      <c r="D42" s="2" t="s">
        <v>88</v>
      </c>
      <c r="E42" s="2" t="s">
        <v>410</v>
      </c>
      <c r="F42" s="36">
        <v>27</v>
      </c>
      <c r="G42" s="36"/>
      <c r="H42" s="36"/>
      <c r="I42" s="36">
        <v>20</v>
      </c>
      <c r="J42" s="36">
        <v>0</v>
      </c>
      <c r="K42" s="36">
        <v>0</v>
      </c>
      <c r="L42" s="37">
        <f t="shared" si="0"/>
        <v>1</v>
      </c>
      <c r="M42" s="36">
        <f t="shared" si="1"/>
        <v>0</v>
      </c>
      <c r="N42" s="38">
        <f t="shared" si="2"/>
        <v>0</v>
      </c>
      <c r="O42" s="36">
        <v>297</v>
      </c>
      <c r="P42" s="44">
        <v>5.1409027777777778</v>
      </c>
      <c r="Q42" s="61">
        <v>0</v>
      </c>
      <c r="R42" s="61">
        <v>0</v>
      </c>
      <c r="S42" s="61">
        <v>0</v>
      </c>
      <c r="T42" s="12"/>
    </row>
    <row r="43" spans="1:20" customFormat="1" x14ac:dyDescent="0.35">
      <c r="A43" s="2" t="s">
        <v>410</v>
      </c>
      <c r="B43" s="2"/>
      <c r="C43" s="3"/>
      <c r="D43" s="2" t="s">
        <v>89</v>
      </c>
      <c r="E43" s="2" t="s">
        <v>410</v>
      </c>
      <c r="F43" s="36">
        <v>13</v>
      </c>
      <c r="G43" s="36"/>
      <c r="H43" s="36"/>
      <c r="I43" s="36">
        <v>4</v>
      </c>
      <c r="J43" s="36">
        <v>3</v>
      </c>
      <c r="K43" s="36">
        <v>1</v>
      </c>
      <c r="L43" s="37">
        <f t="shared" si="0"/>
        <v>0.2</v>
      </c>
      <c r="M43" s="36">
        <f t="shared" si="1"/>
        <v>1</v>
      </c>
      <c r="N43" s="38">
        <f t="shared" si="2"/>
        <v>4</v>
      </c>
      <c r="O43" s="36">
        <v>397</v>
      </c>
      <c r="P43" s="44">
        <v>4.8464583333333335</v>
      </c>
      <c r="Q43" s="61">
        <v>0</v>
      </c>
      <c r="R43" s="61">
        <v>0</v>
      </c>
      <c r="S43" s="61">
        <v>0</v>
      </c>
      <c r="T43" s="12"/>
    </row>
    <row r="44" spans="1:20" customFormat="1" x14ac:dyDescent="0.35">
      <c r="A44" s="2" t="s">
        <v>410</v>
      </c>
      <c r="B44" s="2"/>
      <c r="C44" s="3"/>
      <c r="D44" s="2" t="s">
        <v>90</v>
      </c>
      <c r="E44" s="2" t="s">
        <v>410</v>
      </c>
      <c r="F44" s="36">
        <v>22</v>
      </c>
      <c r="G44" s="36"/>
      <c r="H44" s="36"/>
      <c r="I44" s="36">
        <v>22</v>
      </c>
      <c r="J44" s="36">
        <v>3</v>
      </c>
      <c r="K44" s="36">
        <v>0</v>
      </c>
      <c r="L44" s="37">
        <f t="shared" si="0"/>
        <v>1.1000000000000001</v>
      </c>
      <c r="M44" s="36">
        <f t="shared" si="1"/>
        <v>0</v>
      </c>
      <c r="N44" s="38">
        <f t="shared" si="2"/>
        <v>0</v>
      </c>
      <c r="O44" s="36">
        <v>680</v>
      </c>
      <c r="P44" s="44">
        <v>4.5339930555555554</v>
      </c>
      <c r="Q44" s="61">
        <v>0</v>
      </c>
      <c r="R44" s="61">
        <v>0</v>
      </c>
      <c r="S44" s="61">
        <v>0</v>
      </c>
      <c r="T44" s="12"/>
    </row>
    <row r="45" spans="1:20" customFormat="1" x14ac:dyDescent="0.35">
      <c r="A45" s="2" t="s">
        <v>410</v>
      </c>
      <c r="B45" s="2"/>
      <c r="C45" s="3"/>
      <c r="D45" s="2" t="s">
        <v>91</v>
      </c>
      <c r="E45" s="2" t="s">
        <v>410</v>
      </c>
      <c r="F45" s="36">
        <v>23</v>
      </c>
      <c r="G45" s="36"/>
      <c r="H45" s="36"/>
      <c r="I45" s="36">
        <v>22</v>
      </c>
      <c r="J45" s="36">
        <v>0</v>
      </c>
      <c r="K45" s="36">
        <v>0</v>
      </c>
      <c r="L45" s="37">
        <f t="shared" si="0"/>
        <v>1.1000000000000001</v>
      </c>
      <c r="M45" s="36">
        <f t="shared" si="1"/>
        <v>0</v>
      </c>
      <c r="N45" s="38">
        <f t="shared" si="2"/>
        <v>0</v>
      </c>
      <c r="O45" s="36">
        <v>1007</v>
      </c>
      <c r="P45" s="44">
        <v>5.3227314814814823</v>
      </c>
      <c r="Q45" s="61">
        <v>1</v>
      </c>
      <c r="R45" s="61">
        <v>0</v>
      </c>
      <c r="S45" s="61">
        <v>1</v>
      </c>
      <c r="T45" s="12"/>
    </row>
    <row r="46" spans="1:20" customFormat="1" x14ac:dyDescent="0.35">
      <c r="A46" s="2" t="s">
        <v>410</v>
      </c>
      <c r="B46" s="2"/>
      <c r="C46" s="3"/>
      <c r="D46" s="2" t="s">
        <v>92</v>
      </c>
      <c r="E46" s="2" t="s">
        <v>410</v>
      </c>
      <c r="F46" s="36">
        <v>42</v>
      </c>
      <c r="G46" s="36"/>
      <c r="H46" s="36"/>
      <c r="I46" s="36">
        <v>34</v>
      </c>
      <c r="J46" s="36">
        <v>0</v>
      </c>
      <c r="K46" s="36">
        <v>0</v>
      </c>
      <c r="L46" s="37">
        <f t="shared" si="0"/>
        <v>1.7</v>
      </c>
      <c r="M46" s="36">
        <f t="shared" si="1"/>
        <v>0</v>
      </c>
      <c r="N46" s="38">
        <f t="shared" si="2"/>
        <v>0</v>
      </c>
      <c r="O46" s="36">
        <v>464</v>
      </c>
      <c r="P46" s="44">
        <v>4.7701157407407413</v>
      </c>
      <c r="Q46" s="61">
        <v>0</v>
      </c>
      <c r="R46" s="61">
        <v>0</v>
      </c>
      <c r="S46" s="61">
        <v>0</v>
      </c>
      <c r="T46" s="12"/>
    </row>
    <row r="47" spans="1:20" customFormat="1" x14ac:dyDescent="0.35">
      <c r="A47" s="2" t="s">
        <v>410</v>
      </c>
      <c r="B47" s="2"/>
      <c r="C47" s="3"/>
      <c r="D47" s="2" t="s">
        <v>93</v>
      </c>
      <c r="E47" s="2" t="s">
        <v>410</v>
      </c>
      <c r="F47" s="36">
        <v>30</v>
      </c>
      <c r="G47" s="36"/>
      <c r="H47" s="36"/>
      <c r="I47" s="36">
        <v>25</v>
      </c>
      <c r="J47" s="36">
        <v>3</v>
      </c>
      <c r="K47" s="36">
        <v>1</v>
      </c>
      <c r="L47" s="37">
        <f t="shared" si="0"/>
        <v>1.25</v>
      </c>
      <c r="M47" s="36">
        <f t="shared" si="1"/>
        <v>1</v>
      </c>
      <c r="N47" s="38">
        <f t="shared" si="2"/>
        <v>25</v>
      </c>
      <c r="O47" s="36">
        <v>1138</v>
      </c>
      <c r="P47" s="44">
        <v>5.1842939814814812</v>
      </c>
      <c r="Q47" s="61">
        <v>0</v>
      </c>
      <c r="R47" s="61">
        <v>0</v>
      </c>
      <c r="S47" s="61">
        <v>0</v>
      </c>
      <c r="T47" s="12"/>
    </row>
    <row r="48" spans="1:20" customFormat="1" x14ac:dyDescent="0.35">
      <c r="A48" s="2" t="s">
        <v>430</v>
      </c>
      <c r="B48" s="2"/>
      <c r="C48" s="3"/>
      <c r="D48" s="2" t="s">
        <v>94</v>
      </c>
      <c r="E48" s="2" t="s">
        <v>411</v>
      </c>
      <c r="F48" s="36">
        <v>4</v>
      </c>
      <c r="G48" s="36"/>
      <c r="H48" s="36"/>
      <c r="I48" s="36">
        <v>3</v>
      </c>
      <c r="J48" s="36">
        <v>0</v>
      </c>
      <c r="K48" s="36">
        <v>1</v>
      </c>
      <c r="L48" s="37">
        <f t="shared" si="0"/>
        <v>0.15</v>
      </c>
      <c r="M48" s="36">
        <f t="shared" si="1"/>
        <v>1</v>
      </c>
      <c r="N48" s="38">
        <f t="shared" si="2"/>
        <v>3</v>
      </c>
      <c r="O48" s="36">
        <v>6</v>
      </c>
      <c r="P48" s="44">
        <v>0.70746527777777779</v>
      </c>
      <c r="Q48" s="61">
        <v>0</v>
      </c>
      <c r="R48" s="61">
        <v>0</v>
      </c>
      <c r="S48" s="61">
        <v>0</v>
      </c>
      <c r="T48" s="12"/>
    </row>
    <row r="49" spans="1:20" customFormat="1" x14ac:dyDescent="0.35">
      <c r="A49" s="2" t="s">
        <v>430</v>
      </c>
      <c r="B49" s="2"/>
      <c r="C49" s="3"/>
      <c r="D49" s="2" t="s">
        <v>95</v>
      </c>
      <c r="E49" s="2" t="s">
        <v>411</v>
      </c>
      <c r="F49" s="36">
        <v>7</v>
      </c>
      <c r="G49" s="36"/>
      <c r="H49" s="36"/>
      <c r="I49" s="36">
        <v>6</v>
      </c>
      <c r="J49" s="36">
        <v>0</v>
      </c>
      <c r="K49" s="36">
        <v>0</v>
      </c>
      <c r="L49" s="37">
        <f t="shared" si="0"/>
        <v>0.3</v>
      </c>
      <c r="M49" s="36">
        <f t="shared" si="1"/>
        <v>0</v>
      </c>
      <c r="N49" s="38">
        <f t="shared" si="2"/>
        <v>0</v>
      </c>
      <c r="O49" s="36">
        <v>95</v>
      </c>
      <c r="P49" s="44">
        <v>3.7664583333333335</v>
      </c>
      <c r="Q49" s="61">
        <v>2</v>
      </c>
      <c r="R49" s="61">
        <v>0</v>
      </c>
      <c r="S49" s="61">
        <v>0</v>
      </c>
      <c r="T49" s="12"/>
    </row>
    <row r="50" spans="1:20" customFormat="1" x14ac:dyDescent="0.35">
      <c r="A50" s="2" t="s">
        <v>431</v>
      </c>
      <c r="B50" s="2"/>
      <c r="C50" s="3"/>
      <c r="D50" s="2" t="s">
        <v>96</v>
      </c>
      <c r="E50" s="2" t="s">
        <v>411</v>
      </c>
      <c r="F50" s="36">
        <v>21</v>
      </c>
      <c r="G50" s="36"/>
      <c r="H50" s="36"/>
      <c r="I50" s="36">
        <v>20</v>
      </c>
      <c r="J50" s="36">
        <v>2</v>
      </c>
      <c r="K50" s="36">
        <v>0</v>
      </c>
      <c r="L50" s="37">
        <f t="shared" si="0"/>
        <v>1</v>
      </c>
      <c r="M50" s="36">
        <f t="shared" si="1"/>
        <v>0</v>
      </c>
      <c r="N50" s="38">
        <f t="shared" si="2"/>
        <v>0</v>
      </c>
      <c r="O50" s="36">
        <v>313</v>
      </c>
      <c r="P50" s="44">
        <v>5.3965393518518514</v>
      </c>
      <c r="Q50" s="61">
        <v>0</v>
      </c>
      <c r="R50" s="61">
        <v>0</v>
      </c>
      <c r="S50" s="61">
        <v>1</v>
      </c>
      <c r="T50" s="12"/>
    </row>
    <row r="51" spans="1:20" customFormat="1" x14ac:dyDescent="0.35">
      <c r="A51" s="2" t="s">
        <v>431</v>
      </c>
      <c r="B51" s="2"/>
      <c r="C51" s="3"/>
      <c r="D51" s="2" t="s">
        <v>97</v>
      </c>
      <c r="E51" s="2" t="s">
        <v>411</v>
      </c>
      <c r="F51" s="36">
        <v>18</v>
      </c>
      <c r="G51" s="36"/>
      <c r="H51" s="36"/>
      <c r="I51" s="36">
        <v>16</v>
      </c>
      <c r="J51" s="36">
        <v>1</v>
      </c>
      <c r="K51" s="36">
        <v>0</v>
      </c>
      <c r="L51" s="37">
        <f t="shared" si="0"/>
        <v>0.8</v>
      </c>
      <c r="M51" s="36">
        <f t="shared" si="1"/>
        <v>0</v>
      </c>
      <c r="N51" s="38">
        <f t="shared" si="2"/>
        <v>0</v>
      </c>
      <c r="O51" s="36">
        <v>604</v>
      </c>
      <c r="P51" s="44">
        <v>5.0601504629629632</v>
      </c>
      <c r="Q51" s="61">
        <v>0</v>
      </c>
      <c r="R51" s="61">
        <v>0</v>
      </c>
      <c r="S51" s="61">
        <v>0</v>
      </c>
      <c r="T51" s="12"/>
    </row>
    <row r="52" spans="1:20" customFormat="1" x14ac:dyDescent="0.35">
      <c r="A52" s="2" t="s">
        <v>431</v>
      </c>
      <c r="B52" s="2"/>
      <c r="C52" s="3"/>
      <c r="D52" s="2" t="s">
        <v>98</v>
      </c>
      <c r="E52" s="2" t="s">
        <v>411</v>
      </c>
      <c r="F52" s="36">
        <v>12</v>
      </c>
      <c r="G52" s="36"/>
      <c r="H52" s="36"/>
      <c r="I52" s="36">
        <v>12</v>
      </c>
      <c r="J52" s="36">
        <v>0</v>
      </c>
      <c r="K52" s="36">
        <v>0</v>
      </c>
      <c r="L52" s="37">
        <f t="shared" si="0"/>
        <v>0.6</v>
      </c>
      <c r="M52" s="36">
        <f t="shared" si="1"/>
        <v>0</v>
      </c>
      <c r="N52" s="38">
        <f t="shared" si="2"/>
        <v>0</v>
      </c>
      <c r="O52" s="36">
        <v>404</v>
      </c>
      <c r="P52" s="44">
        <v>3.5902199074074068</v>
      </c>
      <c r="Q52" s="61">
        <v>0</v>
      </c>
      <c r="R52" s="61">
        <v>0</v>
      </c>
      <c r="S52" s="61">
        <v>0</v>
      </c>
      <c r="T52" s="12"/>
    </row>
    <row r="53" spans="1:20" customFormat="1" x14ac:dyDescent="0.35">
      <c r="A53" s="2" t="s">
        <v>431</v>
      </c>
      <c r="B53" s="2"/>
      <c r="C53" s="3"/>
      <c r="D53" s="2" t="s">
        <v>44</v>
      </c>
      <c r="E53" s="2" t="s">
        <v>411</v>
      </c>
      <c r="F53" s="36">
        <v>30</v>
      </c>
      <c r="G53" s="36"/>
      <c r="H53" s="36"/>
      <c r="I53" s="36">
        <v>23</v>
      </c>
      <c r="J53" s="36">
        <v>0</v>
      </c>
      <c r="K53" s="36">
        <v>0</v>
      </c>
      <c r="L53" s="37">
        <f t="shared" si="0"/>
        <v>1.1499999999999999</v>
      </c>
      <c r="M53" s="36">
        <f t="shared" si="1"/>
        <v>0</v>
      </c>
      <c r="N53" s="38">
        <f t="shared" si="2"/>
        <v>0</v>
      </c>
      <c r="O53" s="36">
        <v>492</v>
      </c>
      <c r="P53" s="44">
        <v>4.8597916666666663</v>
      </c>
      <c r="Q53" s="61">
        <v>0</v>
      </c>
      <c r="R53" s="61">
        <v>0</v>
      </c>
      <c r="S53" s="61">
        <v>0</v>
      </c>
      <c r="T53" s="12"/>
    </row>
    <row r="54" spans="1:20" customFormat="1" x14ac:dyDescent="0.35">
      <c r="A54" s="2" t="s">
        <v>431</v>
      </c>
      <c r="B54" s="2"/>
      <c r="C54" s="3"/>
      <c r="D54" s="2" t="s">
        <v>99</v>
      </c>
      <c r="E54" s="2" t="s">
        <v>411</v>
      </c>
      <c r="F54" s="36">
        <v>13</v>
      </c>
      <c r="G54" s="36"/>
      <c r="H54" s="36"/>
      <c r="I54" s="36">
        <v>13</v>
      </c>
      <c r="J54" s="36">
        <v>0</v>
      </c>
      <c r="K54" s="36">
        <v>0</v>
      </c>
      <c r="L54" s="37">
        <f t="shared" si="0"/>
        <v>0.65</v>
      </c>
      <c r="M54" s="36">
        <f t="shared" si="1"/>
        <v>0</v>
      </c>
      <c r="N54" s="38">
        <f t="shared" si="2"/>
        <v>0</v>
      </c>
      <c r="O54" s="36">
        <v>484</v>
      </c>
      <c r="P54" s="44">
        <v>4.8578819444444443</v>
      </c>
      <c r="Q54" s="61">
        <v>0</v>
      </c>
      <c r="R54" s="61">
        <v>0</v>
      </c>
      <c r="S54" s="61">
        <v>1</v>
      </c>
      <c r="T54" s="12"/>
    </row>
    <row r="55" spans="1:20" customFormat="1" x14ac:dyDescent="0.35">
      <c r="A55" s="2" t="s">
        <v>432</v>
      </c>
      <c r="B55" s="2"/>
      <c r="C55" s="3"/>
      <c r="D55" s="2" t="s">
        <v>42</v>
      </c>
      <c r="E55" s="2" t="s">
        <v>411</v>
      </c>
      <c r="F55" s="36">
        <v>35</v>
      </c>
      <c r="G55" s="36"/>
      <c r="H55" s="36"/>
      <c r="I55" s="36">
        <v>30</v>
      </c>
      <c r="J55" s="36">
        <v>0</v>
      </c>
      <c r="K55" s="36">
        <v>0</v>
      </c>
      <c r="L55" s="37">
        <f t="shared" si="0"/>
        <v>1.5</v>
      </c>
      <c r="M55" s="36">
        <f t="shared" si="1"/>
        <v>0</v>
      </c>
      <c r="N55" s="38">
        <f t="shared" si="2"/>
        <v>0</v>
      </c>
      <c r="O55" s="36">
        <v>398</v>
      </c>
      <c r="P55" s="44">
        <v>4.9394907407407409</v>
      </c>
      <c r="Q55" s="61">
        <v>0</v>
      </c>
      <c r="R55" s="61">
        <v>0</v>
      </c>
      <c r="S55" s="61">
        <v>0</v>
      </c>
      <c r="T55" s="12"/>
    </row>
    <row r="56" spans="1:20" customFormat="1" x14ac:dyDescent="0.35">
      <c r="A56" s="2" t="s">
        <v>433</v>
      </c>
      <c r="B56" s="2"/>
      <c r="C56" s="3"/>
      <c r="D56" s="2" t="s">
        <v>100</v>
      </c>
      <c r="E56" s="2" t="s">
        <v>411</v>
      </c>
      <c r="F56" s="36">
        <v>8</v>
      </c>
      <c r="G56" s="36"/>
      <c r="H56" s="36"/>
      <c r="I56" s="36">
        <v>8</v>
      </c>
      <c r="J56" s="36">
        <v>0</v>
      </c>
      <c r="K56" s="36">
        <v>0</v>
      </c>
      <c r="L56" s="37">
        <f t="shared" si="0"/>
        <v>0.4</v>
      </c>
      <c r="M56" s="36">
        <f t="shared" si="1"/>
        <v>0</v>
      </c>
      <c r="N56" s="38">
        <f t="shared" si="2"/>
        <v>0</v>
      </c>
      <c r="O56" s="36">
        <v>64</v>
      </c>
      <c r="P56" s="44">
        <v>3.5800694444444443</v>
      </c>
      <c r="Q56" s="61">
        <v>0</v>
      </c>
      <c r="R56" s="61">
        <v>1</v>
      </c>
      <c r="S56" s="61">
        <v>0</v>
      </c>
      <c r="T56" s="12"/>
    </row>
    <row r="57" spans="1:20" customFormat="1" x14ac:dyDescent="0.35">
      <c r="A57" s="2" t="s">
        <v>433</v>
      </c>
      <c r="B57" s="2"/>
      <c r="C57" s="3"/>
      <c r="D57" s="2" t="s">
        <v>101</v>
      </c>
      <c r="E57" s="2" t="s">
        <v>411</v>
      </c>
      <c r="F57" s="36">
        <v>1</v>
      </c>
      <c r="G57" s="36"/>
      <c r="H57" s="36"/>
      <c r="I57" s="36">
        <v>1</v>
      </c>
      <c r="J57" s="36">
        <v>0</v>
      </c>
      <c r="K57" s="36">
        <v>0</v>
      </c>
      <c r="L57" s="37">
        <f t="shared" si="0"/>
        <v>0.05</v>
      </c>
      <c r="M57" s="36">
        <f t="shared" si="1"/>
        <v>0</v>
      </c>
      <c r="N57" s="38">
        <f t="shared" si="2"/>
        <v>0</v>
      </c>
      <c r="O57" s="36">
        <v>2</v>
      </c>
      <c r="P57" s="44">
        <v>1.4593287037037035</v>
      </c>
      <c r="Q57" s="61">
        <v>0</v>
      </c>
      <c r="R57" s="61">
        <v>0</v>
      </c>
      <c r="S57" s="61">
        <v>0</v>
      </c>
      <c r="T57" s="12"/>
    </row>
    <row r="58" spans="1:20" customFormat="1" x14ac:dyDescent="0.35">
      <c r="A58" s="2" t="s">
        <v>433</v>
      </c>
      <c r="B58" s="2"/>
      <c r="C58" s="3"/>
      <c r="D58" s="2" t="s">
        <v>102</v>
      </c>
      <c r="E58" s="2" t="s">
        <v>411</v>
      </c>
      <c r="F58" s="36">
        <v>12</v>
      </c>
      <c r="G58" s="36"/>
      <c r="H58" s="36"/>
      <c r="I58" s="36">
        <v>10</v>
      </c>
      <c r="J58" s="36">
        <v>0</v>
      </c>
      <c r="K58" s="36">
        <v>0</v>
      </c>
      <c r="L58" s="37">
        <f t="shared" si="0"/>
        <v>0.5</v>
      </c>
      <c r="M58" s="36">
        <f t="shared" si="1"/>
        <v>0</v>
      </c>
      <c r="N58" s="38">
        <f t="shared" si="2"/>
        <v>0</v>
      </c>
      <c r="O58" s="36">
        <v>250</v>
      </c>
      <c r="P58" s="44">
        <v>5.6416435185185181</v>
      </c>
      <c r="Q58" s="61">
        <v>1</v>
      </c>
      <c r="R58" s="61">
        <v>0</v>
      </c>
      <c r="S58" s="61">
        <v>0</v>
      </c>
      <c r="T58" s="12"/>
    </row>
    <row r="59" spans="1:20" customFormat="1" x14ac:dyDescent="0.35">
      <c r="A59" s="2" t="s">
        <v>433</v>
      </c>
      <c r="B59" s="2"/>
      <c r="C59" s="3"/>
      <c r="D59" s="2" t="s">
        <v>103</v>
      </c>
      <c r="E59" s="2" t="s">
        <v>411</v>
      </c>
      <c r="F59" s="36">
        <v>17</v>
      </c>
      <c r="G59" s="36"/>
      <c r="H59" s="36"/>
      <c r="I59" s="36">
        <v>9</v>
      </c>
      <c r="J59" s="36">
        <v>0</v>
      </c>
      <c r="K59" s="36">
        <v>0</v>
      </c>
      <c r="L59" s="37">
        <f t="shared" si="0"/>
        <v>0.45</v>
      </c>
      <c r="M59" s="36">
        <f t="shared" si="1"/>
        <v>0</v>
      </c>
      <c r="N59" s="38">
        <f t="shared" si="2"/>
        <v>0</v>
      </c>
      <c r="O59" s="36">
        <v>169</v>
      </c>
      <c r="P59" s="44">
        <v>3.9932638888888889</v>
      </c>
      <c r="Q59" s="61">
        <v>0</v>
      </c>
      <c r="R59" s="61">
        <v>0</v>
      </c>
      <c r="S59" s="61">
        <v>0</v>
      </c>
      <c r="T59" s="12"/>
    </row>
    <row r="60" spans="1:20" customFormat="1" x14ac:dyDescent="0.35">
      <c r="A60" s="2" t="s">
        <v>433</v>
      </c>
      <c r="B60" s="2"/>
      <c r="C60" s="3"/>
      <c r="D60" s="2" t="s">
        <v>104</v>
      </c>
      <c r="E60" s="2" t="s">
        <v>411</v>
      </c>
      <c r="F60" s="36">
        <v>13</v>
      </c>
      <c r="G60" s="36"/>
      <c r="H60" s="36"/>
      <c r="I60" s="36">
        <v>11</v>
      </c>
      <c r="J60" s="36">
        <v>4</v>
      </c>
      <c r="K60" s="36">
        <v>0</v>
      </c>
      <c r="L60" s="37">
        <f t="shared" si="0"/>
        <v>0.55000000000000004</v>
      </c>
      <c r="M60" s="36">
        <f t="shared" si="1"/>
        <v>0</v>
      </c>
      <c r="N60" s="38">
        <f t="shared" si="2"/>
        <v>0</v>
      </c>
      <c r="O60" s="36">
        <v>709</v>
      </c>
      <c r="P60" s="44">
        <v>5.6596527777777785</v>
      </c>
      <c r="Q60" s="61">
        <v>0</v>
      </c>
      <c r="R60" s="61">
        <v>0</v>
      </c>
      <c r="S60" s="61">
        <v>1</v>
      </c>
      <c r="T60" s="12"/>
    </row>
    <row r="61" spans="1:20" customFormat="1" x14ac:dyDescent="0.35">
      <c r="A61" s="2" t="s">
        <v>434</v>
      </c>
      <c r="B61" s="2"/>
      <c r="C61" s="3"/>
      <c r="D61" s="2" t="s">
        <v>105</v>
      </c>
      <c r="E61" s="2" t="s">
        <v>411</v>
      </c>
      <c r="F61" s="36">
        <v>27</v>
      </c>
      <c r="G61" s="36"/>
      <c r="H61" s="36"/>
      <c r="I61" s="36">
        <v>18</v>
      </c>
      <c r="J61" s="36">
        <v>0</v>
      </c>
      <c r="K61" s="36">
        <v>0</v>
      </c>
      <c r="L61" s="37">
        <f t="shared" si="0"/>
        <v>0.9</v>
      </c>
      <c r="M61" s="36">
        <f t="shared" si="1"/>
        <v>0</v>
      </c>
      <c r="N61" s="38">
        <f t="shared" si="2"/>
        <v>0</v>
      </c>
      <c r="O61" s="36">
        <v>409</v>
      </c>
      <c r="P61" s="44">
        <v>5.1610879629629629</v>
      </c>
      <c r="Q61" s="61">
        <v>0</v>
      </c>
      <c r="R61" s="61">
        <v>0</v>
      </c>
      <c r="S61" s="61">
        <v>0</v>
      </c>
      <c r="T61" s="12"/>
    </row>
    <row r="62" spans="1:20" customFormat="1" x14ac:dyDescent="0.35">
      <c r="A62" s="2" t="s">
        <v>434</v>
      </c>
      <c r="B62" s="2"/>
      <c r="C62" s="3"/>
      <c r="D62" s="2" t="s">
        <v>106</v>
      </c>
      <c r="E62" s="2" t="s">
        <v>411</v>
      </c>
      <c r="F62" s="36">
        <v>36</v>
      </c>
      <c r="G62" s="36"/>
      <c r="H62" s="36"/>
      <c r="I62" s="36">
        <v>23</v>
      </c>
      <c r="J62" s="36">
        <v>1</v>
      </c>
      <c r="K62" s="36">
        <v>0</v>
      </c>
      <c r="L62" s="37">
        <f t="shared" si="0"/>
        <v>1.1499999999999999</v>
      </c>
      <c r="M62" s="36">
        <f t="shared" si="1"/>
        <v>0</v>
      </c>
      <c r="N62" s="38">
        <f t="shared" si="2"/>
        <v>0</v>
      </c>
      <c r="O62" s="36">
        <v>436</v>
      </c>
      <c r="P62" s="44">
        <v>5.3512962962962956</v>
      </c>
      <c r="Q62" s="61">
        <v>0</v>
      </c>
      <c r="R62" s="61">
        <v>0</v>
      </c>
      <c r="S62" s="61">
        <v>0</v>
      </c>
      <c r="T62" s="12"/>
    </row>
    <row r="63" spans="1:20" customFormat="1" x14ac:dyDescent="0.35">
      <c r="A63" s="2" t="s">
        <v>434</v>
      </c>
      <c r="B63" s="2"/>
      <c r="C63" s="3"/>
      <c r="D63" s="2" t="s">
        <v>107</v>
      </c>
      <c r="E63" s="2" t="s">
        <v>411</v>
      </c>
      <c r="F63" s="36">
        <v>17</v>
      </c>
      <c r="G63" s="36"/>
      <c r="H63" s="36"/>
      <c r="I63" s="36">
        <v>7</v>
      </c>
      <c r="J63" s="36">
        <v>2</v>
      </c>
      <c r="K63" s="36">
        <v>0</v>
      </c>
      <c r="L63" s="37">
        <f t="shared" si="0"/>
        <v>0.35</v>
      </c>
      <c r="M63" s="36">
        <f t="shared" si="1"/>
        <v>0</v>
      </c>
      <c r="N63" s="38">
        <f t="shared" si="2"/>
        <v>0</v>
      </c>
      <c r="O63" s="36">
        <v>449</v>
      </c>
      <c r="P63" s="44">
        <v>4.0850115740740742</v>
      </c>
      <c r="Q63" s="61">
        <v>0</v>
      </c>
      <c r="R63" s="61">
        <v>0</v>
      </c>
      <c r="S63" s="61">
        <v>0</v>
      </c>
      <c r="T63" s="12"/>
    </row>
    <row r="64" spans="1:20" customFormat="1" x14ac:dyDescent="0.35">
      <c r="A64" s="2" t="s">
        <v>434</v>
      </c>
      <c r="B64" s="2"/>
      <c r="C64" s="3"/>
      <c r="D64" s="2" t="s">
        <v>108</v>
      </c>
      <c r="E64" s="2" t="s">
        <v>411</v>
      </c>
      <c r="F64" s="36">
        <v>32</v>
      </c>
      <c r="G64" s="36"/>
      <c r="H64" s="36"/>
      <c r="I64" s="36">
        <v>22</v>
      </c>
      <c r="J64" s="36">
        <v>0</v>
      </c>
      <c r="K64" s="36">
        <v>0</v>
      </c>
      <c r="L64" s="37">
        <f t="shared" si="0"/>
        <v>1.1000000000000001</v>
      </c>
      <c r="M64" s="36">
        <f t="shared" si="1"/>
        <v>0</v>
      </c>
      <c r="N64" s="38">
        <f t="shared" si="2"/>
        <v>0</v>
      </c>
      <c r="O64" s="36">
        <v>757</v>
      </c>
      <c r="P64" s="44">
        <v>4.935381944444444</v>
      </c>
      <c r="Q64" s="61">
        <v>0</v>
      </c>
      <c r="R64" s="61">
        <v>1</v>
      </c>
      <c r="S64" s="61">
        <v>0</v>
      </c>
      <c r="T64" s="12"/>
    </row>
    <row r="65" spans="1:20" customFormat="1" x14ac:dyDescent="0.35">
      <c r="A65" s="2" t="s">
        <v>434</v>
      </c>
      <c r="B65" s="2"/>
      <c r="C65" s="3"/>
      <c r="D65" s="2" t="s">
        <v>109</v>
      </c>
      <c r="E65" s="2" t="s">
        <v>411</v>
      </c>
      <c r="F65" s="36">
        <v>15</v>
      </c>
      <c r="G65" s="36"/>
      <c r="H65" s="36"/>
      <c r="I65" s="36">
        <v>11</v>
      </c>
      <c r="J65" s="36">
        <v>2</v>
      </c>
      <c r="K65" s="36">
        <v>0</v>
      </c>
      <c r="L65" s="37">
        <f t="shared" si="0"/>
        <v>0.55000000000000004</v>
      </c>
      <c r="M65" s="36">
        <f t="shared" si="1"/>
        <v>0</v>
      </c>
      <c r="N65" s="38">
        <f t="shared" si="2"/>
        <v>0</v>
      </c>
      <c r="O65" s="36">
        <v>310</v>
      </c>
      <c r="P65" s="44">
        <v>4.356203703703704</v>
      </c>
      <c r="Q65" s="61">
        <v>0</v>
      </c>
      <c r="R65" s="61">
        <v>0</v>
      </c>
      <c r="S65" s="61">
        <v>0</v>
      </c>
      <c r="T65" s="12"/>
    </row>
    <row r="66" spans="1:20" customFormat="1" x14ac:dyDescent="0.35">
      <c r="A66" s="2" t="s">
        <v>435</v>
      </c>
      <c r="B66" s="2"/>
      <c r="C66" s="3"/>
      <c r="D66" s="2" t="s">
        <v>110</v>
      </c>
      <c r="E66" s="2" t="s">
        <v>411</v>
      </c>
      <c r="F66" s="36">
        <v>45</v>
      </c>
      <c r="G66" s="36"/>
      <c r="H66" s="36"/>
      <c r="I66" s="36">
        <v>45</v>
      </c>
      <c r="J66" s="36">
        <v>0</v>
      </c>
      <c r="K66" s="36">
        <v>0</v>
      </c>
      <c r="L66" s="37">
        <f t="shared" si="0"/>
        <v>2.25</v>
      </c>
      <c r="M66" s="36">
        <f t="shared" si="1"/>
        <v>0</v>
      </c>
      <c r="N66" s="38">
        <f t="shared" si="2"/>
        <v>0</v>
      </c>
      <c r="O66" s="36">
        <v>1814</v>
      </c>
      <c r="P66" s="44">
        <v>5.0411111111111113</v>
      </c>
      <c r="Q66" s="61">
        <v>0</v>
      </c>
      <c r="R66" s="61">
        <v>0</v>
      </c>
      <c r="S66" s="61">
        <v>0</v>
      </c>
      <c r="T66" s="12"/>
    </row>
    <row r="67" spans="1:20" customFormat="1" x14ac:dyDescent="0.35">
      <c r="A67" s="2" t="s">
        <v>435</v>
      </c>
      <c r="B67" s="2"/>
      <c r="C67" s="3"/>
      <c r="D67" s="2" t="s">
        <v>111</v>
      </c>
      <c r="E67" s="2" t="s">
        <v>411</v>
      </c>
      <c r="F67" s="36">
        <v>43</v>
      </c>
      <c r="G67" s="36"/>
      <c r="H67" s="36"/>
      <c r="I67" s="36">
        <v>43</v>
      </c>
      <c r="J67" s="36">
        <v>0</v>
      </c>
      <c r="K67" s="36">
        <v>0</v>
      </c>
      <c r="L67" s="37">
        <f t="shared" ref="L67:L130" si="3">I67/20</f>
        <v>2.15</v>
      </c>
      <c r="M67" s="36">
        <f t="shared" ref="M67:M130" si="4">K67</f>
        <v>0</v>
      </c>
      <c r="N67" s="38">
        <f t="shared" ref="N67:N130" si="5">IFERROR(I67/K67,0)</f>
        <v>0</v>
      </c>
      <c r="O67" s="36">
        <v>2300</v>
      </c>
      <c r="P67" s="44">
        <v>5.2342129629629621</v>
      </c>
      <c r="Q67" s="61">
        <v>0</v>
      </c>
      <c r="R67" s="61">
        <v>0</v>
      </c>
      <c r="S67" s="61">
        <v>0</v>
      </c>
      <c r="T67" s="12"/>
    </row>
    <row r="68" spans="1:20" customFormat="1" x14ac:dyDescent="0.35">
      <c r="A68" s="2" t="s">
        <v>436</v>
      </c>
      <c r="B68" s="2"/>
      <c r="C68" s="3"/>
      <c r="D68" s="2" t="s">
        <v>112</v>
      </c>
      <c r="E68" s="2" t="s">
        <v>411</v>
      </c>
      <c r="F68" s="36">
        <v>0</v>
      </c>
      <c r="G68" s="36"/>
      <c r="H68" s="36"/>
      <c r="I68" s="36">
        <v>0</v>
      </c>
      <c r="J68" s="36">
        <v>0</v>
      </c>
      <c r="K68" s="36">
        <v>0</v>
      </c>
      <c r="L68" s="37">
        <f t="shared" si="3"/>
        <v>0</v>
      </c>
      <c r="M68" s="36">
        <f t="shared" si="4"/>
        <v>0</v>
      </c>
      <c r="N68" s="38">
        <f t="shared" si="5"/>
        <v>0</v>
      </c>
      <c r="O68" s="36">
        <v>83</v>
      </c>
      <c r="P68" s="44">
        <v>0</v>
      </c>
      <c r="Q68" s="61">
        <v>0</v>
      </c>
      <c r="R68" s="61">
        <v>0</v>
      </c>
      <c r="S68" s="61">
        <v>0</v>
      </c>
      <c r="T68" s="12"/>
    </row>
    <row r="69" spans="1:20" customFormat="1" x14ac:dyDescent="0.35">
      <c r="A69" s="2" t="s">
        <v>436</v>
      </c>
      <c r="B69" s="2"/>
      <c r="C69" s="3"/>
      <c r="D69" s="2" t="s">
        <v>113</v>
      </c>
      <c r="E69" s="2" t="s">
        <v>411</v>
      </c>
      <c r="F69" s="36">
        <v>23</v>
      </c>
      <c r="G69" s="36"/>
      <c r="H69" s="36"/>
      <c r="I69" s="36">
        <v>17</v>
      </c>
      <c r="J69" s="36">
        <v>2</v>
      </c>
      <c r="K69" s="36">
        <v>1</v>
      </c>
      <c r="L69" s="37">
        <f t="shared" si="3"/>
        <v>0.85</v>
      </c>
      <c r="M69" s="36">
        <f t="shared" si="4"/>
        <v>1</v>
      </c>
      <c r="N69" s="38">
        <f t="shared" si="5"/>
        <v>17</v>
      </c>
      <c r="O69" s="36">
        <v>240</v>
      </c>
      <c r="P69" s="44">
        <v>4.745358796296296</v>
      </c>
      <c r="Q69" s="61">
        <v>0</v>
      </c>
      <c r="R69" s="61">
        <v>0</v>
      </c>
      <c r="S69" s="61">
        <v>0</v>
      </c>
      <c r="T69" s="12"/>
    </row>
    <row r="70" spans="1:20" customFormat="1" x14ac:dyDescent="0.35">
      <c r="A70" s="2" t="s">
        <v>436</v>
      </c>
      <c r="B70" s="2"/>
      <c r="C70" s="3"/>
      <c r="D70" s="2" t="s">
        <v>114</v>
      </c>
      <c r="E70" s="2" t="s">
        <v>411</v>
      </c>
      <c r="F70" s="36">
        <v>22</v>
      </c>
      <c r="G70" s="36"/>
      <c r="H70" s="36"/>
      <c r="I70" s="36">
        <v>16</v>
      </c>
      <c r="J70" s="36">
        <v>2</v>
      </c>
      <c r="K70" s="36">
        <v>1</v>
      </c>
      <c r="L70" s="37">
        <f t="shared" si="3"/>
        <v>0.8</v>
      </c>
      <c r="M70" s="36">
        <f t="shared" si="4"/>
        <v>1</v>
      </c>
      <c r="N70" s="38">
        <f t="shared" si="5"/>
        <v>16</v>
      </c>
      <c r="O70" s="36">
        <v>361</v>
      </c>
      <c r="P70" s="44">
        <v>5.1020254629629633</v>
      </c>
      <c r="Q70" s="61">
        <v>1</v>
      </c>
      <c r="R70" s="61">
        <v>1</v>
      </c>
      <c r="S70" s="61">
        <v>0</v>
      </c>
      <c r="T70" s="12"/>
    </row>
    <row r="71" spans="1:20" customFormat="1" x14ac:dyDescent="0.35">
      <c r="A71" s="2" t="s">
        <v>437</v>
      </c>
      <c r="B71" s="2"/>
      <c r="C71" s="3"/>
      <c r="D71" s="2" t="s">
        <v>115</v>
      </c>
      <c r="E71" s="2" t="s">
        <v>411</v>
      </c>
      <c r="F71" s="36">
        <v>15</v>
      </c>
      <c r="G71" s="36"/>
      <c r="H71" s="36"/>
      <c r="I71" s="36">
        <v>14</v>
      </c>
      <c r="J71" s="36">
        <v>3</v>
      </c>
      <c r="K71" s="36">
        <v>1</v>
      </c>
      <c r="L71" s="37">
        <f t="shared" si="3"/>
        <v>0.7</v>
      </c>
      <c r="M71" s="36">
        <f t="shared" si="4"/>
        <v>1</v>
      </c>
      <c r="N71" s="38">
        <f t="shared" si="5"/>
        <v>14</v>
      </c>
      <c r="O71" s="36">
        <v>259</v>
      </c>
      <c r="P71" s="44">
        <v>4.84025462962963</v>
      </c>
      <c r="Q71" s="61">
        <v>1</v>
      </c>
      <c r="R71" s="61">
        <v>0</v>
      </c>
      <c r="S71" s="61">
        <v>0</v>
      </c>
      <c r="T71" s="12"/>
    </row>
    <row r="72" spans="1:20" customFormat="1" x14ac:dyDescent="0.35">
      <c r="A72" s="2" t="s">
        <v>437</v>
      </c>
      <c r="B72" s="2"/>
      <c r="C72" s="3"/>
      <c r="D72" s="2" t="s">
        <v>116</v>
      </c>
      <c r="E72" s="2" t="s">
        <v>411</v>
      </c>
      <c r="F72" s="36">
        <v>16</v>
      </c>
      <c r="G72" s="36"/>
      <c r="H72" s="36"/>
      <c r="I72" s="36">
        <v>12</v>
      </c>
      <c r="J72" s="36">
        <v>4</v>
      </c>
      <c r="K72" s="36">
        <v>0</v>
      </c>
      <c r="L72" s="37">
        <f t="shared" si="3"/>
        <v>0.6</v>
      </c>
      <c r="M72" s="36">
        <f t="shared" si="4"/>
        <v>0</v>
      </c>
      <c r="N72" s="38">
        <f t="shared" si="5"/>
        <v>0</v>
      </c>
      <c r="O72" s="36">
        <v>256</v>
      </c>
      <c r="P72" s="44">
        <v>4.5930671296296302</v>
      </c>
      <c r="Q72" s="61">
        <v>1</v>
      </c>
      <c r="R72" s="61">
        <v>0</v>
      </c>
      <c r="S72" s="61">
        <v>1</v>
      </c>
      <c r="T72" s="12"/>
    </row>
    <row r="73" spans="1:20" customFormat="1" x14ac:dyDescent="0.35">
      <c r="A73" s="2" t="s">
        <v>437</v>
      </c>
      <c r="B73" s="2"/>
      <c r="C73" s="3"/>
      <c r="D73" s="2" t="s">
        <v>47</v>
      </c>
      <c r="E73" s="2" t="s">
        <v>411</v>
      </c>
      <c r="F73" s="36">
        <v>13</v>
      </c>
      <c r="G73" s="36"/>
      <c r="H73" s="36"/>
      <c r="I73" s="36">
        <v>11</v>
      </c>
      <c r="J73" s="36">
        <v>7</v>
      </c>
      <c r="K73" s="36">
        <v>0</v>
      </c>
      <c r="L73" s="37">
        <f t="shared" si="3"/>
        <v>0.55000000000000004</v>
      </c>
      <c r="M73" s="36">
        <f t="shared" si="4"/>
        <v>0</v>
      </c>
      <c r="N73" s="38">
        <f t="shared" si="5"/>
        <v>0</v>
      </c>
      <c r="O73" s="36">
        <v>193</v>
      </c>
      <c r="P73" s="44">
        <v>4.812870370370371</v>
      </c>
      <c r="Q73" s="61">
        <v>0</v>
      </c>
      <c r="R73" s="61">
        <v>0</v>
      </c>
      <c r="S73" s="61">
        <v>0</v>
      </c>
      <c r="T73" s="12"/>
    </row>
    <row r="74" spans="1:20" customFormat="1" x14ac:dyDescent="0.35">
      <c r="A74" s="2" t="s">
        <v>437</v>
      </c>
      <c r="B74" s="2"/>
      <c r="C74" s="3"/>
      <c r="D74" s="2" t="s">
        <v>117</v>
      </c>
      <c r="E74" s="2" t="s">
        <v>411</v>
      </c>
      <c r="F74" s="36">
        <v>23</v>
      </c>
      <c r="G74" s="36"/>
      <c r="H74" s="36"/>
      <c r="I74" s="36">
        <v>22</v>
      </c>
      <c r="J74" s="36">
        <v>6</v>
      </c>
      <c r="K74" s="36">
        <v>0</v>
      </c>
      <c r="L74" s="37">
        <f t="shared" si="3"/>
        <v>1.1000000000000001</v>
      </c>
      <c r="M74" s="36">
        <f t="shared" si="4"/>
        <v>0</v>
      </c>
      <c r="N74" s="38">
        <f t="shared" si="5"/>
        <v>0</v>
      </c>
      <c r="O74" s="36">
        <v>84</v>
      </c>
      <c r="P74" s="44">
        <v>4.7785300925925922</v>
      </c>
      <c r="Q74" s="61">
        <v>0</v>
      </c>
      <c r="R74" s="61">
        <v>0</v>
      </c>
      <c r="S74" s="61">
        <v>0</v>
      </c>
      <c r="T74" s="12"/>
    </row>
    <row r="75" spans="1:20" customFormat="1" x14ac:dyDescent="0.35">
      <c r="A75" s="2" t="s">
        <v>438</v>
      </c>
      <c r="B75" s="2"/>
      <c r="C75" s="3"/>
      <c r="D75" s="2" t="s">
        <v>118</v>
      </c>
      <c r="E75" s="2" t="s">
        <v>412</v>
      </c>
      <c r="F75" s="36">
        <v>0</v>
      </c>
      <c r="G75" s="36"/>
      <c r="H75" s="36"/>
      <c r="I75" s="36">
        <v>0</v>
      </c>
      <c r="J75" s="36">
        <v>0</v>
      </c>
      <c r="K75" s="36">
        <v>0</v>
      </c>
      <c r="L75" s="37">
        <f t="shared" si="3"/>
        <v>0</v>
      </c>
      <c r="M75" s="36">
        <f t="shared" si="4"/>
        <v>0</v>
      </c>
      <c r="N75" s="38">
        <f t="shared" si="5"/>
        <v>0</v>
      </c>
      <c r="O75" s="36">
        <v>696</v>
      </c>
      <c r="P75" s="44">
        <v>6.1936574074074073</v>
      </c>
      <c r="Q75" s="61">
        <v>0</v>
      </c>
      <c r="R75" s="61">
        <v>0</v>
      </c>
      <c r="S75" s="61">
        <v>0</v>
      </c>
      <c r="T75" s="12"/>
    </row>
    <row r="76" spans="1:20" customFormat="1" x14ac:dyDescent="0.35">
      <c r="A76" s="2" t="s">
        <v>439</v>
      </c>
      <c r="B76" s="2"/>
      <c r="C76" s="3"/>
      <c r="D76" s="2" t="s">
        <v>119</v>
      </c>
      <c r="E76" s="2" t="s">
        <v>413</v>
      </c>
      <c r="F76" s="36">
        <v>11</v>
      </c>
      <c r="G76" s="36"/>
      <c r="H76" s="36"/>
      <c r="I76" s="36">
        <v>1</v>
      </c>
      <c r="J76" s="36">
        <v>0</v>
      </c>
      <c r="K76" s="36">
        <v>0</v>
      </c>
      <c r="L76" s="37">
        <f t="shared" si="3"/>
        <v>0.05</v>
      </c>
      <c r="M76" s="36">
        <f t="shared" si="4"/>
        <v>0</v>
      </c>
      <c r="N76" s="38">
        <f t="shared" si="5"/>
        <v>0</v>
      </c>
      <c r="O76" s="36">
        <v>320</v>
      </c>
      <c r="P76" s="44">
        <v>4.3180092592592594</v>
      </c>
      <c r="Q76" s="61">
        <v>1</v>
      </c>
      <c r="R76" s="61">
        <v>0</v>
      </c>
      <c r="S76" s="61">
        <v>2</v>
      </c>
      <c r="T76" s="12"/>
    </row>
    <row r="77" spans="1:20" customFormat="1" x14ac:dyDescent="0.35">
      <c r="A77" s="2" t="s">
        <v>440</v>
      </c>
      <c r="B77" s="2"/>
      <c r="C77" s="3"/>
      <c r="D77" s="2" t="s">
        <v>120</v>
      </c>
      <c r="E77" s="2" t="s">
        <v>413</v>
      </c>
      <c r="F77" s="36">
        <v>18</v>
      </c>
      <c r="G77" s="36"/>
      <c r="H77" s="36"/>
      <c r="I77" s="36">
        <v>4</v>
      </c>
      <c r="J77" s="36">
        <v>0</v>
      </c>
      <c r="K77" s="36">
        <v>0</v>
      </c>
      <c r="L77" s="37">
        <f t="shared" si="3"/>
        <v>0.2</v>
      </c>
      <c r="M77" s="36">
        <f t="shared" si="4"/>
        <v>0</v>
      </c>
      <c r="N77" s="38">
        <f t="shared" si="5"/>
        <v>0</v>
      </c>
      <c r="O77" s="36">
        <v>1233</v>
      </c>
      <c r="P77" s="44">
        <v>5.5531597222222224</v>
      </c>
      <c r="Q77" s="61">
        <v>0</v>
      </c>
      <c r="R77" s="61">
        <v>0</v>
      </c>
      <c r="S77" s="61">
        <v>0</v>
      </c>
      <c r="T77" s="12"/>
    </row>
    <row r="78" spans="1:20" customFormat="1" x14ac:dyDescent="0.35">
      <c r="A78" s="2" t="s">
        <v>440</v>
      </c>
      <c r="B78" s="2"/>
      <c r="C78" s="3"/>
      <c r="D78" s="2" t="s">
        <v>121</v>
      </c>
      <c r="E78" s="2" t="s">
        <v>413</v>
      </c>
      <c r="F78" s="36">
        <v>3</v>
      </c>
      <c r="G78" s="36"/>
      <c r="H78" s="36"/>
      <c r="I78" s="36">
        <v>2</v>
      </c>
      <c r="J78" s="36">
        <v>0</v>
      </c>
      <c r="K78" s="36">
        <v>0</v>
      </c>
      <c r="L78" s="37">
        <f t="shared" si="3"/>
        <v>0.1</v>
      </c>
      <c r="M78" s="36">
        <f t="shared" si="4"/>
        <v>0</v>
      </c>
      <c r="N78" s="38">
        <f t="shared" si="5"/>
        <v>0</v>
      </c>
      <c r="O78" s="36">
        <v>271</v>
      </c>
      <c r="P78" s="44">
        <v>5.3828703703703695</v>
      </c>
      <c r="Q78" s="61">
        <v>0</v>
      </c>
      <c r="R78" s="61">
        <v>0</v>
      </c>
      <c r="S78" s="61">
        <v>1</v>
      </c>
      <c r="T78" s="12"/>
    </row>
    <row r="79" spans="1:20" customFormat="1" x14ac:dyDescent="0.35">
      <c r="A79" s="2" t="s">
        <v>440</v>
      </c>
      <c r="B79" s="2"/>
      <c r="C79" s="3"/>
      <c r="D79" s="2" t="s">
        <v>122</v>
      </c>
      <c r="E79" s="2" t="s">
        <v>413</v>
      </c>
      <c r="F79" s="36">
        <v>15</v>
      </c>
      <c r="G79" s="36"/>
      <c r="H79" s="36"/>
      <c r="I79" s="36">
        <v>6</v>
      </c>
      <c r="J79" s="36">
        <v>0</v>
      </c>
      <c r="K79" s="36">
        <v>0</v>
      </c>
      <c r="L79" s="37">
        <f t="shared" si="3"/>
        <v>0.3</v>
      </c>
      <c r="M79" s="36">
        <f t="shared" si="4"/>
        <v>0</v>
      </c>
      <c r="N79" s="38">
        <f t="shared" si="5"/>
        <v>0</v>
      </c>
      <c r="O79" s="36">
        <v>1082</v>
      </c>
      <c r="P79" s="44">
        <v>4.7041666666666666</v>
      </c>
      <c r="Q79" s="61">
        <v>0</v>
      </c>
      <c r="R79" s="61">
        <v>1</v>
      </c>
      <c r="S79" s="61">
        <v>0</v>
      </c>
      <c r="T79" s="12"/>
    </row>
    <row r="80" spans="1:20" customFormat="1" x14ac:dyDescent="0.35">
      <c r="A80" s="2" t="s">
        <v>441</v>
      </c>
      <c r="B80" s="2"/>
      <c r="C80" s="3"/>
      <c r="D80" s="2" t="s">
        <v>123</v>
      </c>
      <c r="E80" s="2" t="s">
        <v>413</v>
      </c>
      <c r="F80" s="36">
        <v>6</v>
      </c>
      <c r="G80" s="36"/>
      <c r="H80" s="36"/>
      <c r="I80" s="36">
        <v>6</v>
      </c>
      <c r="J80" s="36">
        <v>0</v>
      </c>
      <c r="K80" s="36">
        <v>6</v>
      </c>
      <c r="L80" s="37">
        <f t="shared" si="3"/>
        <v>0.3</v>
      </c>
      <c r="M80" s="36">
        <f t="shared" si="4"/>
        <v>6</v>
      </c>
      <c r="N80" s="38">
        <f t="shared" si="5"/>
        <v>1</v>
      </c>
      <c r="O80" s="36">
        <v>1</v>
      </c>
      <c r="P80" s="44">
        <v>3.6574074074074074E-3</v>
      </c>
      <c r="Q80" s="61">
        <v>34</v>
      </c>
      <c r="R80" s="61">
        <v>19</v>
      </c>
      <c r="S80" s="61">
        <v>11</v>
      </c>
      <c r="T80" s="12"/>
    </row>
    <row r="81" spans="1:20" customFormat="1" x14ac:dyDescent="0.35">
      <c r="A81" s="2" t="s">
        <v>442</v>
      </c>
      <c r="B81" s="2"/>
      <c r="C81" s="3"/>
      <c r="D81" s="2" t="s">
        <v>124</v>
      </c>
      <c r="E81" s="2" t="s">
        <v>413</v>
      </c>
      <c r="F81" s="36">
        <v>30</v>
      </c>
      <c r="G81" s="36"/>
      <c r="H81" s="36"/>
      <c r="I81" s="36">
        <v>19</v>
      </c>
      <c r="J81" s="36">
        <v>0</v>
      </c>
      <c r="K81" s="36">
        <v>0</v>
      </c>
      <c r="L81" s="37">
        <f t="shared" si="3"/>
        <v>0.95</v>
      </c>
      <c r="M81" s="36">
        <f t="shared" si="4"/>
        <v>0</v>
      </c>
      <c r="N81" s="38">
        <f t="shared" si="5"/>
        <v>0</v>
      </c>
      <c r="O81" s="36">
        <v>854</v>
      </c>
      <c r="P81" s="44">
        <v>5.0130092592592597</v>
      </c>
      <c r="Q81" s="61">
        <v>0</v>
      </c>
      <c r="R81" s="61">
        <v>1</v>
      </c>
      <c r="S81" s="61">
        <v>0</v>
      </c>
      <c r="T81" s="12"/>
    </row>
    <row r="82" spans="1:20" customFormat="1" x14ac:dyDescent="0.35">
      <c r="A82" s="2" t="s">
        <v>442</v>
      </c>
      <c r="B82" s="2"/>
      <c r="C82" s="3"/>
      <c r="D82" s="2" t="s">
        <v>125</v>
      </c>
      <c r="E82" s="2" t="s">
        <v>413</v>
      </c>
      <c r="F82" s="36">
        <v>1</v>
      </c>
      <c r="G82" s="36"/>
      <c r="H82" s="36"/>
      <c r="I82" s="36">
        <v>1</v>
      </c>
      <c r="J82" s="36">
        <v>0</v>
      </c>
      <c r="K82" s="36">
        <v>0</v>
      </c>
      <c r="L82" s="37">
        <f t="shared" si="3"/>
        <v>0.05</v>
      </c>
      <c r="M82" s="36">
        <f t="shared" si="4"/>
        <v>0</v>
      </c>
      <c r="N82" s="38">
        <f t="shared" si="5"/>
        <v>0</v>
      </c>
      <c r="O82" s="36">
        <v>139</v>
      </c>
      <c r="P82" s="44">
        <v>4.2068402777777782</v>
      </c>
      <c r="Q82" s="61">
        <v>0</v>
      </c>
      <c r="R82" s="61">
        <v>0</v>
      </c>
      <c r="S82" s="61">
        <v>0</v>
      </c>
      <c r="T82" s="12"/>
    </row>
    <row r="83" spans="1:20" customFormat="1" x14ac:dyDescent="0.35">
      <c r="A83" s="2" t="s">
        <v>442</v>
      </c>
      <c r="B83" s="2"/>
      <c r="C83" s="3"/>
      <c r="D83" s="2" t="s">
        <v>48</v>
      </c>
      <c r="E83" s="2" t="s">
        <v>413</v>
      </c>
      <c r="F83" s="36">
        <v>10</v>
      </c>
      <c r="G83" s="36"/>
      <c r="H83" s="36"/>
      <c r="I83" s="36">
        <v>6</v>
      </c>
      <c r="J83" s="36">
        <v>0</v>
      </c>
      <c r="K83" s="36">
        <v>1</v>
      </c>
      <c r="L83" s="37">
        <f t="shared" si="3"/>
        <v>0.3</v>
      </c>
      <c r="M83" s="36">
        <f t="shared" si="4"/>
        <v>1</v>
      </c>
      <c r="N83" s="38">
        <f t="shared" si="5"/>
        <v>6</v>
      </c>
      <c r="O83" s="36">
        <v>1230</v>
      </c>
      <c r="P83" s="44">
        <v>4.9428472222222215</v>
      </c>
      <c r="Q83" s="61">
        <v>1</v>
      </c>
      <c r="R83" s="61">
        <v>0</v>
      </c>
      <c r="S83" s="61">
        <v>0</v>
      </c>
      <c r="T83" s="12"/>
    </row>
    <row r="84" spans="1:20" customFormat="1" x14ac:dyDescent="0.35">
      <c r="A84" s="2" t="s">
        <v>442</v>
      </c>
      <c r="B84" s="2"/>
      <c r="C84" s="3"/>
      <c r="D84" s="2" t="s">
        <v>126</v>
      </c>
      <c r="E84" s="2" t="s">
        <v>413</v>
      </c>
      <c r="F84" s="36">
        <v>19</v>
      </c>
      <c r="G84" s="36"/>
      <c r="H84" s="36"/>
      <c r="I84" s="36">
        <v>8</v>
      </c>
      <c r="J84" s="36">
        <v>0</v>
      </c>
      <c r="K84" s="36">
        <v>0</v>
      </c>
      <c r="L84" s="37">
        <f t="shared" si="3"/>
        <v>0.4</v>
      </c>
      <c r="M84" s="36">
        <f t="shared" si="4"/>
        <v>0</v>
      </c>
      <c r="N84" s="38">
        <f t="shared" si="5"/>
        <v>0</v>
      </c>
      <c r="O84" s="36">
        <v>796</v>
      </c>
      <c r="P84" s="44">
        <v>4.9399999999999995</v>
      </c>
      <c r="Q84" s="61">
        <v>0</v>
      </c>
      <c r="R84" s="61">
        <v>0</v>
      </c>
      <c r="S84" s="61">
        <v>0</v>
      </c>
      <c r="T84" s="12"/>
    </row>
    <row r="85" spans="1:20" customFormat="1" x14ac:dyDescent="0.35">
      <c r="A85" s="2" t="s">
        <v>442</v>
      </c>
      <c r="B85" s="2"/>
      <c r="C85" s="3"/>
      <c r="D85" s="2" t="s">
        <v>127</v>
      </c>
      <c r="E85" s="2" t="s">
        <v>413</v>
      </c>
      <c r="F85" s="36">
        <v>10</v>
      </c>
      <c r="G85" s="36"/>
      <c r="H85" s="36"/>
      <c r="I85" s="36">
        <v>5</v>
      </c>
      <c r="J85" s="36">
        <v>0</v>
      </c>
      <c r="K85" s="36">
        <v>3</v>
      </c>
      <c r="L85" s="37">
        <f t="shared" si="3"/>
        <v>0.25</v>
      </c>
      <c r="M85" s="36">
        <f t="shared" si="4"/>
        <v>3</v>
      </c>
      <c r="N85" s="38">
        <f t="shared" si="5"/>
        <v>1.6666666666666667</v>
      </c>
      <c r="O85" s="36">
        <v>594</v>
      </c>
      <c r="P85" s="44">
        <v>5.3583217592592591</v>
      </c>
      <c r="Q85" s="61">
        <v>0</v>
      </c>
      <c r="R85" s="61">
        <v>0</v>
      </c>
      <c r="S85" s="61">
        <v>1</v>
      </c>
      <c r="T85" s="12"/>
    </row>
    <row r="86" spans="1:20" customFormat="1" x14ac:dyDescent="0.35">
      <c r="A86" s="2" t="s">
        <v>442</v>
      </c>
      <c r="B86" s="2"/>
      <c r="C86" s="3"/>
      <c r="D86" s="2" t="s">
        <v>128</v>
      </c>
      <c r="E86" s="2" t="s">
        <v>413</v>
      </c>
      <c r="F86" s="36">
        <v>13</v>
      </c>
      <c r="G86" s="36"/>
      <c r="H86" s="36"/>
      <c r="I86" s="36">
        <v>3</v>
      </c>
      <c r="J86" s="36">
        <v>0</v>
      </c>
      <c r="K86" s="36">
        <v>1</v>
      </c>
      <c r="L86" s="37">
        <f t="shared" si="3"/>
        <v>0.15</v>
      </c>
      <c r="M86" s="36">
        <f t="shared" si="4"/>
        <v>1</v>
      </c>
      <c r="N86" s="38">
        <f t="shared" si="5"/>
        <v>3</v>
      </c>
      <c r="O86" s="36">
        <v>536</v>
      </c>
      <c r="P86" s="44">
        <v>4.4612152777777787</v>
      </c>
      <c r="Q86" s="61">
        <v>0</v>
      </c>
      <c r="R86" s="61">
        <v>0</v>
      </c>
      <c r="S86" s="61">
        <v>0</v>
      </c>
      <c r="T86" s="12"/>
    </row>
    <row r="87" spans="1:20" customFormat="1" x14ac:dyDescent="0.35">
      <c r="A87" s="2" t="s">
        <v>442</v>
      </c>
      <c r="B87" s="2"/>
      <c r="C87" s="3"/>
      <c r="D87" s="2" t="s">
        <v>129</v>
      </c>
      <c r="E87" s="2" t="s">
        <v>413</v>
      </c>
      <c r="F87" s="36">
        <v>3</v>
      </c>
      <c r="G87" s="36"/>
      <c r="H87" s="36"/>
      <c r="I87" s="36">
        <v>0</v>
      </c>
      <c r="J87" s="36">
        <v>0</v>
      </c>
      <c r="K87" s="36">
        <v>0</v>
      </c>
      <c r="L87" s="37">
        <f t="shared" si="3"/>
        <v>0</v>
      </c>
      <c r="M87" s="36">
        <f t="shared" si="4"/>
        <v>0</v>
      </c>
      <c r="N87" s="38">
        <f t="shared" si="5"/>
        <v>0</v>
      </c>
      <c r="O87" s="36">
        <v>578</v>
      </c>
      <c r="P87" s="44">
        <v>3.4223495370370367</v>
      </c>
      <c r="Q87" s="61">
        <v>0</v>
      </c>
      <c r="R87" s="61">
        <v>0</v>
      </c>
      <c r="S87" s="61">
        <v>0</v>
      </c>
      <c r="T87" s="12"/>
    </row>
    <row r="88" spans="1:20" customFormat="1" x14ac:dyDescent="0.35">
      <c r="A88" s="2" t="s">
        <v>443</v>
      </c>
      <c r="B88" s="2"/>
      <c r="C88" s="3"/>
      <c r="D88" s="2" t="s">
        <v>130</v>
      </c>
      <c r="E88" s="2" t="s">
        <v>413</v>
      </c>
      <c r="F88" s="36">
        <v>9</v>
      </c>
      <c r="G88" s="36"/>
      <c r="H88" s="36"/>
      <c r="I88" s="36">
        <v>5</v>
      </c>
      <c r="J88" s="36">
        <v>0</v>
      </c>
      <c r="K88" s="36">
        <v>0</v>
      </c>
      <c r="L88" s="37">
        <f t="shared" si="3"/>
        <v>0.25</v>
      </c>
      <c r="M88" s="36">
        <f t="shared" si="4"/>
        <v>0</v>
      </c>
      <c r="N88" s="38">
        <f t="shared" si="5"/>
        <v>0</v>
      </c>
      <c r="O88" s="36">
        <v>182</v>
      </c>
      <c r="P88" s="44">
        <v>4.7257754629629636</v>
      </c>
      <c r="Q88" s="61">
        <v>0</v>
      </c>
      <c r="R88" s="61">
        <v>2</v>
      </c>
      <c r="S88" s="61">
        <v>0</v>
      </c>
      <c r="T88" s="12"/>
    </row>
    <row r="89" spans="1:20" customFormat="1" x14ac:dyDescent="0.35">
      <c r="A89" s="2" t="s">
        <v>443</v>
      </c>
      <c r="B89" s="2"/>
      <c r="C89" s="3"/>
      <c r="D89" s="2" t="s">
        <v>131</v>
      </c>
      <c r="E89" s="2" t="s">
        <v>413</v>
      </c>
      <c r="F89" s="36">
        <v>27</v>
      </c>
      <c r="G89" s="36"/>
      <c r="H89" s="36"/>
      <c r="I89" s="36">
        <v>15</v>
      </c>
      <c r="J89" s="36">
        <v>0</v>
      </c>
      <c r="K89" s="36">
        <v>2</v>
      </c>
      <c r="L89" s="37">
        <f t="shared" si="3"/>
        <v>0.75</v>
      </c>
      <c r="M89" s="36">
        <f t="shared" si="4"/>
        <v>2</v>
      </c>
      <c r="N89" s="38">
        <f t="shared" si="5"/>
        <v>7.5</v>
      </c>
      <c r="O89" s="36">
        <v>1383</v>
      </c>
      <c r="P89" s="44">
        <v>5.0061226851851854</v>
      </c>
      <c r="Q89" s="61">
        <v>1</v>
      </c>
      <c r="R89" s="61">
        <v>0</v>
      </c>
      <c r="S89" s="61">
        <v>0</v>
      </c>
      <c r="T89" s="12"/>
    </row>
    <row r="90" spans="1:20" customFormat="1" x14ac:dyDescent="0.35">
      <c r="A90" s="2" t="s">
        <v>443</v>
      </c>
      <c r="B90" s="2"/>
      <c r="C90" s="3"/>
      <c r="D90" s="2" t="s">
        <v>132</v>
      </c>
      <c r="E90" s="2" t="s">
        <v>413</v>
      </c>
      <c r="F90" s="36">
        <v>4</v>
      </c>
      <c r="G90" s="36"/>
      <c r="H90" s="36"/>
      <c r="I90" s="36">
        <v>2</v>
      </c>
      <c r="J90" s="36">
        <v>0</v>
      </c>
      <c r="K90" s="36">
        <v>1</v>
      </c>
      <c r="L90" s="37">
        <f t="shared" si="3"/>
        <v>0.1</v>
      </c>
      <c r="M90" s="36">
        <f t="shared" si="4"/>
        <v>1</v>
      </c>
      <c r="N90" s="38">
        <f t="shared" si="5"/>
        <v>2</v>
      </c>
      <c r="O90" s="36">
        <v>974</v>
      </c>
      <c r="P90" s="44">
        <v>4.2292824074074087</v>
      </c>
      <c r="Q90" s="61">
        <v>0</v>
      </c>
      <c r="R90" s="61">
        <v>0</v>
      </c>
      <c r="S90" s="61">
        <v>0</v>
      </c>
      <c r="T90" s="12"/>
    </row>
    <row r="91" spans="1:20" customFormat="1" x14ac:dyDescent="0.35">
      <c r="A91" s="2" t="s">
        <v>444</v>
      </c>
      <c r="B91" s="2"/>
      <c r="C91" s="3"/>
      <c r="D91" s="2" t="s">
        <v>133</v>
      </c>
      <c r="E91" s="2" t="s">
        <v>413</v>
      </c>
      <c r="F91" s="36">
        <v>19</v>
      </c>
      <c r="G91" s="36"/>
      <c r="H91" s="36"/>
      <c r="I91" s="36">
        <v>5</v>
      </c>
      <c r="J91" s="36">
        <v>0</v>
      </c>
      <c r="K91" s="36">
        <v>0</v>
      </c>
      <c r="L91" s="37">
        <f t="shared" si="3"/>
        <v>0.25</v>
      </c>
      <c r="M91" s="36">
        <f t="shared" si="4"/>
        <v>0</v>
      </c>
      <c r="N91" s="38">
        <f t="shared" si="5"/>
        <v>0</v>
      </c>
      <c r="O91" s="36">
        <v>362</v>
      </c>
      <c r="P91" s="44">
        <v>5.851157407407408</v>
      </c>
      <c r="Q91" s="61">
        <v>0</v>
      </c>
      <c r="R91" s="61">
        <v>0</v>
      </c>
      <c r="S91" s="61">
        <v>0</v>
      </c>
      <c r="T91" s="12"/>
    </row>
    <row r="92" spans="1:20" customFormat="1" x14ac:dyDescent="0.35">
      <c r="A92" s="2" t="s">
        <v>444</v>
      </c>
      <c r="B92" s="2"/>
      <c r="C92" s="3"/>
      <c r="D92" s="2" t="s">
        <v>134</v>
      </c>
      <c r="E92" s="2" t="s">
        <v>413</v>
      </c>
      <c r="F92" s="36">
        <v>5</v>
      </c>
      <c r="G92" s="36"/>
      <c r="H92" s="36"/>
      <c r="I92" s="36">
        <v>2</v>
      </c>
      <c r="J92" s="36">
        <v>0</v>
      </c>
      <c r="K92" s="36">
        <v>0</v>
      </c>
      <c r="L92" s="37">
        <f t="shared" si="3"/>
        <v>0.1</v>
      </c>
      <c r="M92" s="36">
        <f t="shared" si="4"/>
        <v>0</v>
      </c>
      <c r="N92" s="38">
        <f t="shared" si="5"/>
        <v>0</v>
      </c>
      <c r="O92" s="36">
        <v>112</v>
      </c>
      <c r="P92" s="44">
        <v>5.742430555555555</v>
      </c>
      <c r="Q92" s="61">
        <v>0</v>
      </c>
      <c r="R92" s="61">
        <v>0</v>
      </c>
      <c r="S92" s="61">
        <v>0</v>
      </c>
      <c r="T92" s="12"/>
    </row>
    <row r="93" spans="1:20" customFormat="1" x14ac:dyDescent="0.35">
      <c r="A93" s="2" t="s">
        <v>444</v>
      </c>
      <c r="B93" s="2"/>
      <c r="C93" s="3"/>
      <c r="D93" s="2" t="s">
        <v>135</v>
      </c>
      <c r="E93" s="2" t="s">
        <v>413</v>
      </c>
      <c r="F93" s="36">
        <v>17</v>
      </c>
      <c r="G93" s="36"/>
      <c r="H93" s="36"/>
      <c r="I93" s="36">
        <v>5</v>
      </c>
      <c r="J93" s="36">
        <v>0</v>
      </c>
      <c r="K93" s="36">
        <v>0</v>
      </c>
      <c r="L93" s="37">
        <f t="shared" si="3"/>
        <v>0.25</v>
      </c>
      <c r="M93" s="36">
        <f t="shared" si="4"/>
        <v>0</v>
      </c>
      <c r="N93" s="38">
        <f t="shared" si="5"/>
        <v>0</v>
      </c>
      <c r="O93" s="36">
        <v>449</v>
      </c>
      <c r="P93" s="44">
        <v>5.5464236111111109</v>
      </c>
      <c r="Q93" s="61">
        <v>0</v>
      </c>
      <c r="R93" s="61">
        <v>0</v>
      </c>
      <c r="S93" s="61">
        <v>1</v>
      </c>
      <c r="T93" s="12"/>
    </row>
    <row r="94" spans="1:20" customFormat="1" x14ac:dyDescent="0.35">
      <c r="A94" s="2" t="s">
        <v>444</v>
      </c>
      <c r="B94" s="2"/>
      <c r="C94" s="3"/>
      <c r="D94" s="2" t="s">
        <v>136</v>
      </c>
      <c r="E94" s="2" t="s">
        <v>413</v>
      </c>
      <c r="F94" s="36">
        <v>15</v>
      </c>
      <c r="G94" s="36"/>
      <c r="H94" s="36"/>
      <c r="I94" s="36">
        <v>6</v>
      </c>
      <c r="J94" s="36">
        <v>0</v>
      </c>
      <c r="K94" s="36">
        <v>1</v>
      </c>
      <c r="L94" s="37">
        <f t="shared" si="3"/>
        <v>0.3</v>
      </c>
      <c r="M94" s="36">
        <f t="shared" si="4"/>
        <v>1</v>
      </c>
      <c r="N94" s="38">
        <f t="shared" si="5"/>
        <v>6</v>
      </c>
      <c r="O94" s="36">
        <v>365</v>
      </c>
      <c r="P94" s="44">
        <v>5.5978124999999999</v>
      </c>
      <c r="Q94" s="61">
        <v>0</v>
      </c>
      <c r="R94" s="61">
        <v>1</v>
      </c>
      <c r="S94" s="61">
        <v>0</v>
      </c>
      <c r="T94" s="12"/>
    </row>
    <row r="95" spans="1:20" customFormat="1" x14ac:dyDescent="0.35">
      <c r="A95" s="2" t="s">
        <v>445</v>
      </c>
      <c r="B95" s="2"/>
      <c r="C95" s="3"/>
      <c r="D95" s="2" t="s">
        <v>137</v>
      </c>
      <c r="E95" s="2" t="s">
        <v>413</v>
      </c>
      <c r="F95" s="36">
        <v>4</v>
      </c>
      <c r="G95" s="36"/>
      <c r="H95" s="36"/>
      <c r="I95" s="36">
        <v>2</v>
      </c>
      <c r="J95" s="36">
        <v>0</v>
      </c>
      <c r="K95" s="36">
        <v>0</v>
      </c>
      <c r="L95" s="37">
        <f t="shared" si="3"/>
        <v>0.1</v>
      </c>
      <c r="M95" s="36">
        <f t="shared" si="4"/>
        <v>0</v>
      </c>
      <c r="N95" s="38">
        <f t="shared" si="5"/>
        <v>0</v>
      </c>
      <c r="O95" s="36">
        <v>84</v>
      </c>
      <c r="P95" s="44">
        <v>4.4554976851851853</v>
      </c>
      <c r="Q95" s="61">
        <v>0</v>
      </c>
      <c r="R95" s="61">
        <v>0</v>
      </c>
      <c r="S95" s="61">
        <v>0</v>
      </c>
      <c r="T95" s="12"/>
    </row>
    <row r="96" spans="1:20" customFormat="1" x14ac:dyDescent="0.35">
      <c r="A96" s="2" t="s">
        <v>445</v>
      </c>
      <c r="B96" s="2"/>
      <c r="C96" s="3"/>
      <c r="D96" s="2" t="s">
        <v>138</v>
      </c>
      <c r="E96" s="2" t="s">
        <v>413</v>
      </c>
      <c r="F96" s="36">
        <v>19</v>
      </c>
      <c r="G96" s="36"/>
      <c r="H96" s="36"/>
      <c r="I96" s="36">
        <v>13</v>
      </c>
      <c r="J96" s="36">
        <v>0</v>
      </c>
      <c r="K96" s="36">
        <v>1</v>
      </c>
      <c r="L96" s="37">
        <f t="shared" si="3"/>
        <v>0.65</v>
      </c>
      <c r="M96" s="36">
        <f t="shared" si="4"/>
        <v>1</v>
      </c>
      <c r="N96" s="38">
        <f t="shared" si="5"/>
        <v>13</v>
      </c>
      <c r="O96" s="36">
        <v>988</v>
      </c>
      <c r="P96" s="44">
        <v>5.2513194444444444</v>
      </c>
      <c r="Q96" s="61">
        <v>0</v>
      </c>
      <c r="R96" s="61">
        <v>0</v>
      </c>
      <c r="S96" s="61">
        <v>0</v>
      </c>
      <c r="T96" s="12"/>
    </row>
    <row r="97" spans="1:20" customFormat="1" x14ac:dyDescent="0.35">
      <c r="A97" s="2" t="s">
        <v>445</v>
      </c>
      <c r="B97" s="2"/>
      <c r="C97" s="3"/>
      <c r="D97" s="2" t="s">
        <v>139</v>
      </c>
      <c r="E97" s="2" t="s">
        <v>413</v>
      </c>
      <c r="F97" s="36">
        <v>10</v>
      </c>
      <c r="G97" s="36"/>
      <c r="H97" s="36"/>
      <c r="I97" s="36">
        <v>3</v>
      </c>
      <c r="J97" s="36">
        <v>1</v>
      </c>
      <c r="K97" s="36">
        <v>1</v>
      </c>
      <c r="L97" s="37">
        <f t="shared" si="3"/>
        <v>0.15</v>
      </c>
      <c r="M97" s="36">
        <f t="shared" si="4"/>
        <v>1</v>
      </c>
      <c r="N97" s="38">
        <f t="shared" si="5"/>
        <v>3</v>
      </c>
      <c r="O97" s="36">
        <v>1021</v>
      </c>
      <c r="P97" s="44">
        <v>4.2876504629629624</v>
      </c>
      <c r="Q97" s="61">
        <v>0</v>
      </c>
      <c r="R97" s="61">
        <v>0</v>
      </c>
      <c r="S97" s="61">
        <v>0</v>
      </c>
      <c r="T97" s="12"/>
    </row>
    <row r="98" spans="1:20" customFormat="1" x14ac:dyDescent="0.35">
      <c r="A98" s="2" t="s">
        <v>446</v>
      </c>
      <c r="B98" s="2"/>
      <c r="C98" s="3"/>
      <c r="D98" s="2" t="s">
        <v>140</v>
      </c>
      <c r="E98" s="2" t="s">
        <v>413</v>
      </c>
      <c r="F98" s="36">
        <v>24</v>
      </c>
      <c r="G98" s="36"/>
      <c r="H98" s="36"/>
      <c r="I98" s="36">
        <v>6</v>
      </c>
      <c r="J98" s="36">
        <v>0</v>
      </c>
      <c r="K98" s="36">
        <v>0</v>
      </c>
      <c r="L98" s="37">
        <f t="shared" si="3"/>
        <v>0.3</v>
      </c>
      <c r="M98" s="36">
        <f t="shared" si="4"/>
        <v>0</v>
      </c>
      <c r="N98" s="38">
        <f t="shared" si="5"/>
        <v>0</v>
      </c>
      <c r="O98" s="36">
        <v>503</v>
      </c>
      <c r="P98" s="44">
        <v>4.036701388888889</v>
      </c>
      <c r="Q98" s="61">
        <v>1</v>
      </c>
      <c r="R98" s="61">
        <v>0</v>
      </c>
      <c r="S98" s="61">
        <v>0</v>
      </c>
      <c r="T98" s="12"/>
    </row>
    <row r="99" spans="1:20" customFormat="1" x14ac:dyDescent="0.35">
      <c r="A99" s="2" t="s">
        <v>446</v>
      </c>
      <c r="B99" s="2"/>
      <c r="C99" s="3"/>
      <c r="D99" s="2" t="s">
        <v>141</v>
      </c>
      <c r="E99" s="2" t="s">
        <v>413</v>
      </c>
      <c r="F99" s="36">
        <v>0</v>
      </c>
      <c r="G99" s="36"/>
      <c r="H99" s="36"/>
      <c r="I99" s="36">
        <v>0</v>
      </c>
      <c r="J99" s="36">
        <v>0</v>
      </c>
      <c r="K99" s="36">
        <v>0</v>
      </c>
      <c r="L99" s="37">
        <f t="shared" si="3"/>
        <v>0</v>
      </c>
      <c r="M99" s="36">
        <f t="shared" si="4"/>
        <v>0</v>
      </c>
      <c r="N99" s="38">
        <f t="shared" si="5"/>
        <v>0</v>
      </c>
      <c r="O99" s="36">
        <v>0</v>
      </c>
      <c r="P99" s="44">
        <v>0.3329050925925926</v>
      </c>
      <c r="Q99" s="61">
        <v>0</v>
      </c>
      <c r="R99" s="61">
        <v>0</v>
      </c>
      <c r="S99" s="61">
        <v>0</v>
      </c>
      <c r="T99" s="12"/>
    </row>
    <row r="100" spans="1:20" customFormat="1" x14ac:dyDescent="0.35">
      <c r="A100" s="2" t="s">
        <v>447</v>
      </c>
      <c r="B100" s="2"/>
      <c r="C100" s="3"/>
      <c r="D100" s="2" t="s">
        <v>142</v>
      </c>
      <c r="E100" s="2" t="s">
        <v>413</v>
      </c>
      <c r="F100" s="36">
        <v>8</v>
      </c>
      <c r="G100" s="36"/>
      <c r="H100" s="36"/>
      <c r="I100" s="36">
        <v>0</v>
      </c>
      <c r="J100" s="36">
        <v>0</v>
      </c>
      <c r="K100" s="36">
        <v>0</v>
      </c>
      <c r="L100" s="37">
        <f t="shared" si="3"/>
        <v>0</v>
      </c>
      <c r="M100" s="36">
        <f t="shared" si="4"/>
        <v>0</v>
      </c>
      <c r="N100" s="38">
        <f t="shared" si="5"/>
        <v>0</v>
      </c>
      <c r="O100" s="36">
        <v>631</v>
      </c>
      <c r="P100" s="44">
        <v>3.7502893518518516</v>
      </c>
      <c r="Q100" s="61">
        <v>0</v>
      </c>
      <c r="R100" s="61">
        <v>0</v>
      </c>
      <c r="S100" s="61">
        <v>0</v>
      </c>
      <c r="T100" s="12"/>
    </row>
    <row r="101" spans="1:20" customFormat="1" x14ac:dyDescent="0.35">
      <c r="A101" s="2" t="s">
        <v>447</v>
      </c>
      <c r="B101" s="2"/>
      <c r="C101" s="3"/>
      <c r="D101" s="2" t="s">
        <v>143</v>
      </c>
      <c r="E101" s="2" t="s">
        <v>413</v>
      </c>
      <c r="F101" s="36">
        <v>23</v>
      </c>
      <c r="G101" s="36"/>
      <c r="H101" s="36"/>
      <c r="I101" s="36">
        <v>11</v>
      </c>
      <c r="J101" s="36">
        <v>0</v>
      </c>
      <c r="K101" s="36">
        <v>0</v>
      </c>
      <c r="L101" s="37">
        <f t="shared" si="3"/>
        <v>0.55000000000000004</v>
      </c>
      <c r="M101" s="36">
        <f t="shared" si="4"/>
        <v>0</v>
      </c>
      <c r="N101" s="38">
        <f t="shared" si="5"/>
        <v>0</v>
      </c>
      <c r="O101" s="36">
        <v>1254</v>
      </c>
      <c r="P101" s="44">
        <v>5.0561342592592586</v>
      </c>
      <c r="Q101" s="61">
        <v>0</v>
      </c>
      <c r="R101" s="61">
        <v>0</v>
      </c>
      <c r="S101" s="61">
        <v>1</v>
      </c>
      <c r="T101" s="12"/>
    </row>
    <row r="102" spans="1:20" customFormat="1" x14ac:dyDescent="0.35">
      <c r="A102" s="2" t="s">
        <v>447</v>
      </c>
      <c r="B102" s="2"/>
      <c r="C102" s="3"/>
      <c r="D102" s="2" t="s">
        <v>144</v>
      </c>
      <c r="E102" s="2" t="s">
        <v>413</v>
      </c>
      <c r="F102" s="36">
        <v>10</v>
      </c>
      <c r="G102" s="36"/>
      <c r="H102" s="36"/>
      <c r="I102" s="36">
        <v>7</v>
      </c>
      <c r="J102" s="36">
        <v>0</v>
      </c>
      <c r="K102" s="36">
        <v>0</v>
      </c>
      <c r="L102" s="37">
        <f t="shared" si="3"/>
        <v>0.35</v>
      </c>
      <c r="M102" s="36">
        <f t="shared" si="4"/>
        <v>0</v>
      </c>
      <c r="N102" s="38">
        <f t="shared" si="5"/>
        <v>0</v>
      </c>
      <c r="O102" s="36">
        <v>2279</v>
      </c>
      <c r="P102" s="44">
        <v>4.9749884259259254</v>
      </c>
      <c r="Q102" s="61">
        <v>0</v>
      </c>
      <c r="R102" s="61">
        <v>0</v>
      </c>
      <c r="S102" s="61">
        <v>0</v>
      </c>
      <c r="T102" s="12"/>
    </row>
    <row r="103" spans="1:20" customFormat="1" x14ac:dyDescent="0.35">
      <c r="A103" s="2" t="s">
        <v>447</v>
      </c>
      <c r="B103" s="2"/>
      <c r="C103" s="3"/>
      <c r="D103" s="2" t="s">
        <v>145</v>
      </c>
      <c r="E103" s="2" t="s">
        <v>413</v>
      </c>
      <c r="F103" s="36">
        <v>2</v>
      </c>
      <c r="G103" s="36"/>
      <c r="H103" s="36"/>
      <c r="I103" s="36">
        <v>2</v>
      </c>
      <c r="J103" s="36">
        <v>0</v>
      </c>
      <c r="K103" s="36">
        <v>0</v>
      </c>
      <c r="L103" s="37">
        <f t="shared" si="3"/>
        <v>0.1</v>
      </c>
      <c r="M103" s="36">
        <f t="shared" si="4"/>
        <v>0</v>
      </c>
      <c r="N103" s="38">
        <f t="shared" si="5"/>
        <v>0</v>
      </c>
      <c r="O103" s="36">
        <v>195</v>
      </c>
      <c r="P103" s="44">
        <v>3.5776273148148148</v>
      </c>
      <c r="Q103" s="61">
        <v>0</v>
      </c>
      <c r="R103" s="61">
        <v>0</v>
      </c>
      <c r="S103" s="61">
        <v>0</v>
      </c>
      <c r="T103" s="12"/>
    </row>
    <row r="104" spans="1:20" customFormat="1" x14ac:dyDescent="0.35">
      <c r="A104" s="2" t="s">
        <v>448</v>
      </c>
      <c r="B104" s="2"/>
      <c r="C104" s="3"/>
      <c r="D104" s="2" t="s">
        <v>146</v>
      </c>
      <c r="E104" s="2" t="s">
        <v>413</v>
      </c>
      <c r="F104" s="36">
        <v>17</v>
      </c>
      <c r="G104" s="36"/>
      <c r="H104" s="36"/>
      <c r="I104" s="36">
        <v>3</v>
      </c>
      <c r="J104" s="36">
        <v>0</v>
      </c>
      <c r="K104" s="36">
        <v>0</v>
      </c>
      <c r="L104" s="37">
        <f t="shared" si="3"/>
        <v>0.15</v>
      </c>
      <c r="M104" s="36">
        <f t="shared" si="4"/>
        <v>0</v>
      </c>
      <c r="N104" s="38">
        <f t="shared" si="5"/>
        <v>0</v>
      </c>
      <c r="O104" s="36">
        <v>217</v>
      </c>
      <c r="P104" s="44">
        <v>4.9408796296296291</v>
      </c>
      <c r="Q104" s="61">
        <v>0</v>
      </c>
      <c r="R104" s="61">
        <v>0</v>
      </c>
      <c r="S104" s="61">
        <v>0</v>
      </c>
      <c r="T104" s="12"/>
    </row>
    <row r="105" spans="1:20" customFormat="1" x14ac:dyDescent="0.35">
      <c r="A105" s="2" t="s">
        <v>448</v>
      </c>
      <c r="B105" s="2"/>
      <c r="C105" s="3"/>
      <c r="D105" s="2" t="s">
        <v>147</v>
      </c>
      <c r="E105" s="2" t="s">
        <v>413</v>
      </c>
      <c r="F105" s="36">
        <v>10</v>
      </c>
      <c r="G105" s="36"/>
      <c r="H105" s="36"/>
      <c r="I105" s="36">
        <v>7</v>
      </c>
      <c r="J105" s="36">
        <v>1</v>
      </c>
      <c r="K105" s="36">
        <v>0</v>
      </c>
      <c r="L105" s="37">
        <f t="shared" si="3"/>
        <v>0.35</v>
      </c>
      <c r="M105" s="36">
        <f t="shared" si="4"/>
        <v>0</v>
      </c>
      <c r="N105" s="38">
        <f t="shared" si="5"/>
        <v>0</v>
      </c>
      <c r="O105" s="36">
        <v>202</v>
      </c>
      <c r="P105" s="44">
        <v>4.786215277777778</v>
      </c>
      <c r="Q105" s="61">
        <v>0</v>
      </c>
      <c r="R105" s="61">
        <v>1</v>
      </c>
      <c r="S105" s="61">
        <v>0</v>
      </c>
      <c r="T105" s="12"/>
    </row>
    <row r="106" spans="1:20" customFormat="1" x14ac:dyDescent="0.35">
      <c r="A106" s="2" t="s">
        <v>448</v>
      </c>
      <c r="B106" s="2"/>
      <c r="C106" s="3"/>
      <c r="D106" s="2" t="s">
        <v>148</v>
      </c>
      <c r="E106" s="2" t="s">
        <v>413</v>
      </c>
      <c r="F106" s="36">
        <v>16</v>
      </c>
      <c r="G106" s="36"/>
      <c r="H106" s="36"/>
      <c r="I106" s="36">
        <v>6</v>
      </c>
      <c r="J106" s="36">
        <v>0</v>
      </c>
      <c r="K106" s="36">
        <v>0</v>
      </c>
      <c r="L106" s="37">
        <f t="shared" si="3"/>
        <v>0.3</v>
      </c>
      <c r="M106" s="36">
        <f t="shared" si="4"/>
        <v>0</v>
      </c>
      <c r="N106" s="38">
        <f t="shared" si="5"/>
        <v>0</v>
      </c>
      <c r="O106" s="36">
        <v>757</v>
      </c>
      <c r="P106" s="44">
        <v>4.387488425925925</v>
      </c>
      <c r="Q106" s="61">
        <v>0</v>
      </c>
      <c r="R106" s="61">
        <v>0</v>
      </c>
      <c r="S106" s="61">
        <v>0</v>
      </c>
      <c r="T106" s="12"/>
    </row>
    <row r="107" spans="1:20" customFormat="1" x14ac:dyDescent="0.35">
      <c r="A107" s="2" t="s">
        <v>449</v>
      </c>
      <c r="B107" s="2"/>
      <c r="C107" s="3"/>
      <c r="D107" s="2" t="s">
        <v>149</v>
      </c>
      <c r="E107" s="2" t="s">
        <v>413</v>
      </c>
      <c r="F107" s="36">
        <v>0</v>
      </c>
      <c r="G107" s="36"/>
      <c r="H107" s="36"/>
      <c r="I107" s="36">
        <v>0</v>
      </c>
      <c r="J107" s="36">
        <v>0</v>
      </c>
      <c r="K107" s="36">
        <v>0</v>
      </c>
      <c r="L107" s="37">
        <f t="shared" si="3"/>
        <v>0</v>
      </c>
      <c r="M107" s="36">
        <f t="shared" si="4"/>
        <v>0</v>
      </c>
      <c r="N107" s="38">
        <f t="shared" si="5"/>
        <v>0</v>
      </c>
      <c r="O107" s="36">
        <v>2</v>
      </c>
      <c r="P107" s="44">
        <v>0.81759259259259254</v>
      </c>
      <c r="Q107" s="61">
        <v>0</v>
      </c>
      <c r="R107" s="61">
        <v>0</v>
      </c>
      <c r="S107" s="61">
        <v>0</v>
      </c>
      <c r="T107" s="12"/>
    </row>
    <row r="108" spans="1:20" customFormat="1" x14ac:dyDescent="0.35">
      <c r="A108" s="2" t="s">
        <v>450</v>
      </c>
      <c r="B108" s="2"/>
      <c r="C108" s="3"/>
      <c r="D108" s="2" t="s">
        <v>150</v>
      </c>
      <c r="E108" s="2" t="s">
        <v>413</v>
      </c>
      <c r="F108" s="36">
        <v>6</v>
      </c>
      <c r="G108" s="36"/>
      <c r="H108" s="36"/>
      <c r="I108" s="36">
        <v>0</v>
      </c>
      <c r="J108" s="36">
        <v>0</v>
      </c>
      <c r="K108" s="36">
        <v>0</v>
      </c>
      <c r="L108" s="37">
        <f t="shared" si="3"/>
        <v>0</v>
      </c>
      <c r="M108" s="36">
        <f t="shared" si="4"/>
        <v>0</v>
      </c>
      <c r="N108" s="38">
        <f t="shared" si="5"/>
        <v>0</v>
      </c>
      <c r="O108" s="36">
        <v>205</v>
      </c>
      <c r="P108" s="44">
        <v>4.4574884259259253</v>
      </c>
      <c r="Q108" s="61">
        <v>0</v>
      </c>
      <c r="R108" s="61">
        <v>1</v>
      </c>
      <c r="S108" s="61">
        <v>0</v>
      </c>
      <c r="T108" s="12"/>
    </row>
    <row r="109" spans="1:20" customFormat="1" x14ac:dyDescent="0.35">
      <c r="A109" s="2" t="s">
        <v>450</v>
      </c>
      <c r="B109" s="2"/>
      <c r="C109" s="3"/>
      <c r="D109" s="2" t="s">
        <v>151</v>
      </c>
      <c r="E109" s="2" t="s">
        <v>413</v>
      </c>
      <c r="F109" s="36">
        <v>14</v>
      </c>
      <c r="G109" s="36"/>
      <c r="H109" s="36"/>
      <c r="I109" s="36">
        <v>6</v>
      </c>
      <c r="J109" s="36">
        <v>0</v>
      </c>
      <c r="K109" s="36">
        <v>0</v>
      </c>
      <c r="L109" s="37">
        <f t="shared" si="3"/>
        <v>0.3</v>
      </c>
      <c r="M109" s="36">
        <f t="shared" si="4"/>
        <v>0</v>
      </c>
      <c r="N109" s="38">
        <f t="shared" si="5"/>
        <v>0</v>
      </c>
      <c r="O109" s="36">
        <v>950</v>
      </c>
      <c r="P109" s="44">
        <v>5.145185185185186</v>
      </c>
      <c r="Q109" s="61">
        <v>0</v>
      </c>
      <c r="R109" s="61">
        <v>0</v>
      </c>
      <c r="S109" s="61">
        <v>0</v>
      </c>
      <c r="T109" s="12"/>
    </row>
    <row r="110" spans="1:20" customFormat="1" x14ac:dyDescent="0.35">
      <c r="A110" s="2" t="s">
        <v>450</v>
      </c>
      <c r="B110" s="2"/>
      <c r="C110" s="3"/>
      <c r="D110" s="2" t="s">
        <v>152</v>
      </c>
      <c r="E110" s="2" t="s">
        <v>413</v>
      </c>
      <c r="F110" s="36">
        <v>1</v>
      </c>
      <c r="G110" s="36"/>
      <c r="H110" s="36"/>
      <c r="I110" s="36">
        <v>1</v>
      </c>
      <c r="J110" s="36">
        <v>0</v>
      </c>
      <c r="K110" s="36">
        <v>0</v>
      </c>
      <c r="L110" s="37">
        <f t="shared" si="3"/>
        <v>0.05</v>
      </c>
      <c r="M110" s="36">
        <f t="shared" si="4"/>
        <v>0</v>
      </c>
      <c r="N110" s="38">
        <f t="shared" si="5"/>
        <v>0</v>
      </c>
      <c r="O110" s="36">
        <v>71</v>
      </c>
      <c r="P110" s="44">
        <v>4.8608912037037033</v>
      </c>
      <c r="Q110" s="61">
        <v>0</v>
      </c>
      <c r="R110" s="61">
        <v>1</v>
      </c>
      <c r="S110" s="61">
        <v>0</v>
      </c>
      <c r="T110" s="12"/>
    </row>
    <row r="111" spans="1:20" customFormat="1" x14ac:dyDescent="0.35">
      <c r="A111" s="2" t="s">
        <v>450</v>
      </c>
      <c r="B111" s="2"/>
      <c r="C111" s="3"/>
      <c r="D111" s="2" t="s">
        <v>153</v>
      </c>
      <c r="E111" s="2" t="s">
        <v>413</v>
      </c>
      <c r="F111" s="36">
        <v>16</v>
      </c>
      <c r="G111" s="36"/>
      <c r="H111" s="36"/>
      <c r="I111" s="36">
        <v>6</v>
      </c>
      <c r="J111" s="36">
        <v>0</v>
      </c>
      <c r="K111" s="36">
        <v>0</v>
      </c>
      <c r="L111" s="37">
        <f t="shared" si="3"/>
        <v>0.3</v>
      </c>
      <c r="M111" s="36">
        <f t="shared" si="4"/>
        <v>0</v>
      </c>
      <c r="N111" s="38">
        <f t="shared" si="5"/>
        <v>0</v>
      </c>
      <c r="O111" s="36">
        <v>394</v>
      </c>
      <c r="P111" s="44">
        <v>5.1980324074074078</v>
      </c>
      <c r="Q111" s="61">
        <v>0</v>
      </c>
      <c r="R111" s="61">
        <v>0</v>
      </c>
      <c r="S111" s="61">
        <v>0</v>
      </c>
      <c r="T111" s="12"/>
    </row>
    <row r="112" spans="1:20" customFormat="1" x14ac:dyDescent="0.35">
      <c r="A112" s="2" t="s">
        <v>450</v>
      </c>
      <c r="B112" s="2"/>
      <c r="C112" s="3"/>
      <c r="D112" s="2" t="s">
        <v>154</v>
      </c>
      <c r="E112" s="2" t="s">
        <v>413</v>
      </c>
      <c r="F112" s="36">
        <v>14</v>
      </c>
      <c r="G112" s="36"/>
      <c r="H112" s="36"/>
      <c r="I112" s="36">
        <v>5</v>
      </c>
      <c r="J112" s="36">
        <v>0</v>
      </c>
      <c r="K112" s="36">
        <v>0</v>
      </c>
      <c r="L112" s="37">
        <f t="shared" si="3"/>
        <v>0.25</v>
      </c>
      <c r="M112" s="36">
        <f t="shared" si="4"/>
        <v>0</v>
      </c>
      <c r="N112" s="38">
        <f t="shared" si="5"/>
        <v>0</v>
      </c>
      <c r="O112" s="36">
        <v>878</v>
      </c>
      <c r="P112" s="44">
        <v>3.3739699074074077</v>
      </c>
      <c r="Q112" s="61">
        <v>1</v>
      </c>
      <c r="R112" s="61">
        <v>1</v>
      </c>
      <c r="S112" s="61">
        <v>0</v>
      </c>
      <c r="T112" s="12"/>
    </row>
    <row r="113" spans="1:20" customFormat="1" x14ac:dyDescent="0.35">
      <c r="A113" s="2" t="s">
        <v>450</v>
      </c>
      <c r="B113" s="2"/>
      <c r="C113" s="3"/>
      <c r="D113" s="2" t="s">
        <v>155</v>
      </c>
      <c r="E113" s="2" t="s">
        <v>413</v>
      </c>
      <c r="F113" s="36">
        <v>10</v>
      </c>
      <c r="G113" s="36"/>
      <c r="H113" s="36"/>
      <c r="I113" s="36">
        <v>0</v>
      </c>
      <c r="J113" s="36">
        <v>0</v>
      </c>
      <c r="K113" s="36">
        <v>0</v>
      </c>
      <c r="L113" s="37">
        <f t="shared" si="3"/>
        <v>0</v>
      </c>
      <c r="M113" s="36">
        <f t="shared" si="4"/>
        <v>0</v>
      </c>
      <c r="N113" s="38">
        <f t="shared" si="5"/>
        <v>0</v>
      </c>
      <c r="O113" s="36">
        <v>796</v>
      </c>
      <c r="P113" s="44">
        <v>5.0051851851851845</v>
      </c>
      <c r="Q113" s="61">
        <v>0</v>
      </c>
      <c r="R113" s="61">
        <v>0</v>
      </c>
      <c r="S113" s="61">
        <v>0</v>
      </c>
      <c r="T113" s="12"/>
    </row>
    <row r="114" spans="1:20" customFormat="1" x14ac:dyDescent="0.35">
      <c r="A114" s="2" t="s">
        <v>451</v>
      </c>
      <c r="B114" s="2"/>
      <c r="C114" s="3"/>
      <c r="D114" s="2" t="s">
        <v>156</v>
      </c>
      <c r="E114" s="2" t="s">
        <v>413</v>
      </c>
      <c r="F114" s="36">
        <v>8</v>
      </c>
      <c r="G114" s="36"/>
      <c r="H114" s="36"/>
      <c r="I114" s="36">
        <v>0</v>
      </c>
      <c r="J114" s="36">
        <v>0</v>
      </c>
      <c r="K114" s="36">
        <v>0</v>
      </c>
      <c r="L114" s="37">
        <f t="shared" si="3"/>
        <v>0</v>
      </c>
      <c r="M114" s="36">
        <f t="shared" si="4"/>
        <v>0</v>
      </c>
      <c r="N114" s="38">
        <f t="shared" si="5"/>
        <v>0</v>
      </c>
      <c r="O114" s="36">
        <v>1115</v>
      </c>
      <c r="P114" s="44">
        <v>5.0993750000000002</v>
      </c>
      <c r="Q114" s="61">
        <v>0</v>
      </c>
      <c r="R114" s="61">
        <v>1</v>
      </c>
      <c r="S114" s="61">
        <v>0</v>
      </c>
      <c r="T114" s="12"/>
    </row>
    <row r="115" spans="1:20" customFormat="1" x14ac:dyDescent="0.35">
      <c r="A115" s="2" t="s">
        <v>451</v>
      </c>
      <c r="B115" s="2"/>
      <c r="C115" s="3"/>
      <c r="D115" s="2" t="s">
        <v>157</v>
      </c>
      <c r="E115" s="2" t="s">
        <v>413</v>
      </c>
      <c r="F115" s="36">
        <v>19</v>
      </c>
      <c r="G115" s="36"/>
      <c r="H115" s="36"/>
      <c r="I115" s="36">
        <v>9</v>
      </c>
      <c r="J115" s="36">
        <v>0</v>
      </c>
      <c r="K115" s="36">
        <v>0</v>
      </c>
      <c r="L115" s="37">
        <f t="shared" si="3"/>
        <v>0.45</v>
      </c>
      <c r="M115" s="36">
        <f t="shared" si="4"/>
        <v>0</v>
      </c>
      <c r="N115" s="38">
        <f t="shared" si="5"/>
        <v>0</v>
      </c>
      <c r="O115" s="36">
        <v>679</v>
      </c>
      <c r="P115" s="44">
        <v>5.1363194444444442</v>
      </c>
      <c r="Q115" s="61">
        <v>0</v>
      </c>
      <c r="R115" s="61">
        <v>0</v>
      </c>
      <c r="S115" s="61">
        <v>0</v>
      </c>
      <c r="T115" s="12"/>
    </row>
    <row r="116" spans="1:20" customFormat="1" x14ac:dyDescent="0.35">
      <c r="A116" s="2" t="s">
        <v>451</v>
      </c>
      <c r="B116" s="2"/>
      <c r="C116" s="3"/>
      <c r="D116" s="2" t="s">
        <v>158</v>
      </c>
      <c r="E116" s="2" t="s">
        <v>413</v>
      </c>
      <c r="F116" s="36">
        <v>5</v>
      </c>
      <c r="G116" s="36"/>
      <c r="H116" s="36"/>
      <c r="I116" s="36">
        <v>3</v>
      </c>
      <c r="J116" s="36">
        <v>0</v>
      </c>
      <c r="K116" s="36">
        <v>0</v>
      </c>
      <c r="L116" s="37">
        <f t="shared" si="3"/>
        <v>0.15</v>
      </c>
      <c r="M116" s="36">
        <f t="shared" si="4"/>
        <v>0</v>
      </c>
      <c r="N116" s="38">
        <f t="shared" si="5"/>
        <v>0</v>
      </c>
      <c r="O116" s="36">
        <v>75</v>
      </c>
      <c r="P116" s="44">
        <v>3.8209953703703707</v>
      </c>
      <c r="Q116" s="61">
        <v>0</v>
      </c>
      <c r="R116" s="61">
        <v>0</v>
      </c>
      <c r="S116" s="61">
        <v>1</v>
      </c>
      <c r="T116" s="12"/>
    </row>
    <row r="117" spans="1:20" customFormat="1" x14ac:dyDescent="0.35">
      <c r="A117" s="2" t="s">
        <v>451</v>
      </c>
      <c r="B117" s="2"/>
      <c r="C117" s="3"/>
      <c r="D117" s="2" t="s">
        <v>159</v>
      </c>
      <c r="E117" s="2" t="s">
        <v>413</v>
      </c>
      <c r="F117" s="36">
        <v>8</v>
      </c>
      <c r="G117" s="36"/>
      <c r="H117" s="36"/>
      <c r="I117" s="36">
        <v>2</v>
      </c>
      <c r="J117" s="36">
        <v>0</v>
      </c>
      <c r="K117" s="36">
        <v>0</v>
      </c>
      <c r="L117" s="37">
        <f t="shared" si="3"/>
        <v>0.1</v>
      </c>
      <c r="M117" s="36">
        <f t="shared" si="4"/>
        <v>0</v>
      </c>
      <c r="N117" s="38">
        <f t="shared" si="5"/>
        <v>0</v>
      </c>
      <c r="O117" s="36">
        <v>772</v>
      </c>
      <c r="P117" s="44">
        <v>4.6204282407407407</v>
      </c>
      <c r="Q117" s="61">
        <v>1</v>
      </c>
      <c r="R117" s="61">
        <v>1</v>
      </c>
      <c r="S117" s="61">
        <v>0</v>
      </c>
      <c r="T117" s="12"/>
    </row>
    <row r="118" spans="1:20" customFormat="1" x14ac:dyDescent="0.35">
      <c r="A118" s="2" t="s">
        <v>451</v>
      </c>
      <c r="B118" s="2"/>
      <c r="C118" s="3"/>
      <c r="D118" s="2" t="s">
        <v>160</v>
      </c>
      <c r="E118" s="2" t="s">
        <v>413</v>
      </c>
      <c r="F118" s="36">
        <v>11</v>
      </c>
      <c r="G118" s="36"/>
      <c r="H118" s="36"/>
      <c r="I118" s="36">
        <v>4</v>
      </c>
      <c r="J118" s="36">
        <v>0</v>
      </c>
      <c r="K118" s="36">
        <v>0</v>
      </c>
      <c r="L118" s="37">
        <f t="shared" si="3"/>
        <v>0.2</v>
      </c>
      <c r="M118" s="36">
        <f t="shared" si="4"/>
        <v>0</v>
      </c>
      <c r="N118" s="38">
        <f t="shared" si="5"/>
        <v>0</v>
      </c>
      <c r="O118" s="36">
        <v>758</v>
      </c>
      <c r="P118" s="44">
        <v>4.8225000000000007</v>
      </c>
      <c r="Q118" s="61">
        <v>1</v>
      </c>
      <c r="R118" s="61">
        <v>0</v>
      </c>
      <c r="S118" s="61">
        <v>0</v>
      </c>
      <c r="T118" s="12"/>
    </row>
    <row r="119" spans="1:20" customFormat="1" x14ac:dyDescent="0.35">
      <c r="A119" s="2" t="s">
        <v>451</v>
      </c>
      <c r="B119" s="2"/>
      <c r="C119" s="3"/>
      <c r="D119" s="2" t="s">
        <v>4</v>
      </c>
      <c r="E119" s="2" t="s">
        <v>413</v>
      </c>
      <c r="F119" s="36">
        <v>9</v>
      </c>
      <c r="G119" s="36"/>
      <c r="H119" s="36"/>
      <c r="I119" s="36">
        <v>1</v>
      </c>
      <c r="J119" s="36">
        <v>0</v>
      </c>
      <c r="K119" s="36">
        <v>0</v>
      </c>
      <c r="L119" s="37">
        <f t="shared" si="3"/>
        <v>0.05</v>
      </c>
      <c r="M119" s="36">
        <f t="shared" si="4"/>
        <v>0</v>
      </c>
      <c r="N119" s="38">
        <f t="shared" si="5"/>
        <v>0</v>
      </c>
      <c r="O119" s="36">
        <v>543</v>
      </c>
      <c r="P119" s="44">
        <v>4.9520486111111115</v>
      </c>
      <c r="Q119" s="61">
        <v>1</v>
      </c>
      <c r="R119" s="61">
        <v>0</v>
      </c>
      <c r="S119" s="61">
        <v>0</v>
      </c>
      <c r="T119" s="12"/>
    </row>
    <row r="120" spans="1:20" customFormat="1" x14ac:dyDescent="0.35">
      <c r="A120" s="2" t="s">
        <v>452</v>
      </c>
      <c r="B120" s="2"/>
      <c r="C120" s="3"/>
      <c r="D120" s="2" t="s">
        <v>161</v>
      </c>
      <c r="E120" s="2" t="s">
        <v>413</v>
      </c>
      <c r="F120" s="36">
        <v>1</v>
      </c>
      <c r="G120" s="36"/>
      <c r="H120" s="36"/>
      <c r="I120" s="36">
        <v>1</v>
      </c>
      <c r="J120" s="36">
        <v>0</v>
      </c>
      <c r="K120" s="36">
        <v>0</v>
      </c>
      <c r="L120" s="37">
        <f t="shared" si="3"/>
        <v>0.05</v>
      </c>
      <c r="M120" s="36">
        <f t="shared" si="4"/>
        <v>0</v>
      </c>
      <c r="N120" s="38">
        <f t="shared" si="5"/>
        <v>0</v>
      </c>
      <c r="O120" s="36">
        <v>281</v>
      </c>
      <c r="P120" s="44">
        <v>3.9938425925925922</v>
      </c>
      <c r="Q120" s="61">
        <v>0</v>
      </c>
      <c r="R120" s="61">
        <v>0</v>
      </c>
      <c r="S120" s="61">
        <v>0</v>
      </c>
      <c r="T120" s="12"/>
    </row>
    <row r="121" spans="1:20" customFormat="1" x14ac:dyDescent="0.35">
      <c r="A121" s="2" t="s">
        <v>452</v>
      </c>
      <c r="B121" s="2"/>
      <c r="C121" s="3"/>
      <c r="D121" s="2" t="s">
        <v>162</v>
      </c>
      <c r="E121" s="2" t="s">
        <v>413</v>
      </c>
      <c r="F121" s="36">
        <v>8</v>
      </c>
      <c r="G121" s="36"/>
      <c r="H121" s="36"/>
      <c r="I121" s="36">
        <v>2</v>
      </c>
      <c r="J121" s="36">
        <v>0</v>
      </c>
      <c r="K121" s="36">
        <v>0</v>
      </c>
      <c r="L121" s="37">
        <f t="shared" si="3"/>
        <v>0.1</v>
      </c>
      <c r="M121" s="36">
        <f t="shared" si="4"/>
        <v>0</v>
      </c>
      <c r="N121" s="38">
        <f t="shared" si="5"/>
        <v>0</v>
      </c>
      <c r="O121" s="36">
        <v>898</v>
      </c>
      <c r="P121" s="44">
        <v>4.6435879629629628</v>
      </c>
      <c r="Q121" s="61">
        <v>0</v>
      </c>
      <c r="R121" s="61">
        <v>0</v>
      </c>
      <c r="S121" s="61">
        <v>1</v>
      </c>
      <c r="T121" s="12"/>
    </row>
    <row r="122" spans="1:20" customFormat="1" x14ac:dyDescent="0.35">
      <c r="A122" s="2" t="s">
        <v>452</v>
      </c>
      <c r="B122" s="2"/>
      <c r="C122" s="3"/>
      <c r="D122" s="2" t="s">
        <v>163</v>
      </c>
      <c r="E122" s="2" t="s">
        <v>413</v>
      </c>
      <c r="F122" s="36">
        <v>26</v>
      </c>
      <c r="G122" s="36"/>
      <c r="H122" s="36"/>
      <c r="I122" s="36">
        <v>10</v>
      </c>
      <c r="J122" s="36">
        <v>0</v>
      </c>
      <c r="K122" s="36">
        <v>0</v>
      </c>
      <c r="L122" s="37">
        <f t="shared" si="3"/>
        <v>0.5</v>
      </c>
      <c r="M122" s="36">
        <f t="shared" si="4"/>
        <v>0</v>
      </c>
      <c r="N122" s="38">
        <f t="shared" si="5"/>
        <v>0</v>
      </c>
      <c r="O122" s="36">
        <v>636</v>
      </c>
      <c r="P122" s="44">
        <v>5.0627893518518521</v>
      </c>
      <c r="Q122" s="61">
        <v>0</v>
      </c>
      <c r="R122" s="61">
        <v>0</v>
      </c>
      <c r="S122" s="61">
        <v>1</v>
      </c>
      <c r="T122" s="12"/>
    </row>
    <row r="123" spans="1:20" customFormat="1" x14ac:dyDescent="0.35">
      <c r="A123" s="2" t="s">
        <v>452</v>
      </c>
      <c r="B123" s="2"/>
      <c r="C123" s="3"/>
      <c r="D123" s="2" t="s">
        <v>164</v>
      </c>
      <c r="E123" s="2" t="s">
        <v>413</v>
      </c>
      <c r="F123" s="36">
        <v>18</v>
      </c>
      <c r="G123" s="36"/>
      <c r="H123" s="36"/>
      <c r="I123" s="36">
        <v>10</v>
      </c>
      <c r="J123" s="36">
        <v>0</v>
      </c>
      <c r="K123" s="36">
        <v>0</v>
      </c>
      <c r="L123" s="37">
        <f t="shared" si="3"/>
        <v>0.5</v>
      </c>
      <c r="M123" s="36">
        <f t="shared" si="4"/>
        <v>0</v>
      </c>
      <c r="N123" s="38">
        <f t="shared" si="5"/>
        <v>0</v>
      </c>
      <c r="O123" s="36">
        <v>488</v>
      </c>
      <c r="P123" s="44">
        <v>5.0638310185185178</v>
      </c>
      <c r="Q123" s="61">
        <v>2</v>
      </c>
      <c r="R123" s="61">
        <v>0</v>
      </c>
      <c r="S123" s="61">
        <v>0</v>
      </c>
      <c r="T123" s="12"/>
    </row>
    <row r="124" spans="1:20" customFormat="1" x14ac:dyDescent="0.35">
      <c r="A124" s="2" t="s">
        <v>453</v>
      </c>
      <c r="B124" s="2"/>
      <c r="C124" s="3"/>
      <c r="D124" s="2" t="s">
        <v>165</v>
      </c>
      <c r="E124" s="2" t="s">
        <v>412</v>
      </c>
      <c r="F124" s="36">
        <v>48</v>
      </c>
      <c r="G124" s="36"/>
      <c r="H124" s="36"/>
      <c r="I124" s="36">
        <v>48</v>
      </c>
      <c r="J124" s="36">
        <v>0</v>
      </c>
      <c r="K124" s="36">
        <v>0</v>
      </c>
      <c r="L124" s="37">
        <f t="shared" si="3"/>
        <v>2.4</v>
      </c>
      <c r="M124" s="36">
        <f t="shared" si="4"/>
        <v>0</v>
      </c>
      <c r="N124" s="38">
        <f t="shared" si="5"/>
        <v>0</v>
      </c>
      <c r="O124" s="36">
        <v>944</v>
      </c>
      <c r="P124" s="44">
        <v>4.9413425925925925</v>
      </c>
      <c r="Q124" s="61">
        <v>1</v>
      </c>
      <c r="R124" s="61">
        <v>0</v>
      </c>
      <c r="S124" s="61">
        <v>0</v>
      </c>
      <c r="T124" s="12"/>
    </row>
    <row r="125" spans="1:20" customFormat="1" x14ac:dyDescent="0.35">
      <c r="A125" s="2" t="s">
        <v>453</v>
      </c>
      <c r="B125" s="2"/>
      <c r="C125" s="3"/>
      <c r="D125" s="2" t="s">
        <v>166</v>
      </c>
      <c r="E125" s="2" t="s">
        <v>412</v>
      </c>
      <c r="F125" s="36">
        <v>51</v>
      </c>
      <c r="G125" s="36"/>
      <c r="H125" s="36"/>
      <c r="I125" s="36">
        <v>51</v>
      </c>
      <c r="J125" s="36">
        <v>0</v>
      </c>
      <c r="K125" s="36">
        <v>0</v>
      </c>
      <c r="L125" s="37">
        <f t="shared" si="3"/>
        <v>2.5499999999999998</v>
      </c>
      <c r="M125" s="36">
        <f t="shared" si="4"/>
        <v>0</v>
      </c>
      <c r="N125" s="38">
        <f t="shared" si="5"/>
        <v>0</v>
      </c>
      <c r="O125" s="36">
        <v>731</v>
      </c>
      <c r="P125" s="44">
        <v>4.8314699074074072</v>
      </c>
      <c r="Q125" s="61">
        <v>0</v>
      </c>
      <c r="R125" s="61">
        <v>0</v>
      </c>
      <c r="S125" s="61">
        <v>0</v>
      </c>
      <c r="T125" s="12"/>
    </row>
    <row r="126" spans="1:20" customFormat="1" x14ac:dyDescent="0.35">
      <c r="A126" s="2" t="s">
        <v>453</v>
      </c>
      <c r="B126" s="2"/>
      <c r="C126" s="3"/>
      <c r="D126" s="2" t="s">
        <v>167</v>
      </c>
      <c r="E126" s="2" t="s">
        <v>412</v>
      </c>
      <c r="F126" s="36">
        <v>49</v>
      </c>
      <c r="G126" s="36"/>
      <c r="H126" s="36"/>
      <c r="I126" s="36">
        <v>49</v>
      </c>
      <c r="J126" s="36">
        <v>0</v>
      </c>
      <c r="K126" s="36">
        <v>0</v>
      </c>
      <c r="L126" s="37">
        <f t="shared" si="3"/>
        <v>2.4500000000000002</v>
      </c>
      <c r="M126" s="36">
        <f t="shared" si="4"/>
        <v>0</v>
      </c>
      <c r="N126" s="38">
        <f t="shared" si="5"/>
        <v>0</v>
      </c>
      <c r="O126" s="36">
        <v>871</v>
      </c>
      <c r="P126" s="44">
        <v>3.9611689814814808</v>
      </c>
      <c r="Q126" s="61">
        <v>0</v>
      </c>
      <c r="R126" s="61">
        <v>0</v>
      </c>
      <c r="S126" s="61">
        <v>0</v>
      </c>
      <c r="T126" s="12"/>
    </row>
    <row r="127" spans="1:20" customFormat="1" x14ac:dyDescent="0.35">
      <c r="A127" s="2" t="s">
        <v>453</v>
      </c>
      <c r="B127" s="2"/>
      <c r="C127" s="3"/>
      <c r="D127" s="2" t="s">
        <v>168</v>
      </c>
      <c r="E127" s="2" t="s">
        <v>412</v>
      </c>
      <c r="F127" s="36">
        <v>53</v>
      </c>
      <c r="G127" s="36"/>
      <c r="H127" s="36"/>
      <c r="I127" s="36">
        <v>52</v>
      </c>
      <c r="J127" s="36">
        <v>0</v>
      </c>
      <c r="K127" s="36">
        <v>0</v>
      </c>
      <c r="L127" s="37">
        <f t="shared" si="3"/>
        <v>2.6</v>
      </c>
      <c r="M127" s="36">
        <f t="shared" si="4"/>
        <v>0</v>
      </c>
      <c r="N127" s="38">
        <f t="shared" si="5"/>
        <v>0</v>
      </c>
      <c r="O127" s="36">
        <v>764</v>
      </c>
      <c r="P127" s="44">
        <v>5.316365740740741</v>
      </c>
      <c r="Q127" s="61">
        <v>0</v>
      </c>
      <c r="R127" s="61">
        <v>0</v>
      </c>
      <c r="S127" s="61">
        <v>0</v>
      </c>
      <c r="T127" s="12"/>
    </row>
    <row r="128" spans="1:20" customFormat="1" x14ac:dyDescent="0.35">
      <c r="A128" s="2" t="s">
        <v>453</v>
      </c>
      <c r="B128" s="2"/>
      <c r="C128" s="3"/>
      <c r="D128" s="2" t="s">
        <v>169</v>
      </c>
      <c r="E128" s="2" t="s">
        <v>412</v>
      </c>
      <c r="F128" s="36">
        <v>35</v>
      </c>
      <c r="G128" s="36"/>
      <c r="H128" s="36"/>
      <c r="I128" s="36">
        <v>35</v>
      </c>
      <c r="J128" s="36">
        <v>0</v>
      </c>
      <c r="K128" s="36">
        <v>0</v>
      </c>
      <c r="L128" s="37">
        <f t="shared" si="3"/>
        <v>1.75</v>
      </c>
      <c r="M128" s="36">
        <f t="shared" si="4"/>
        <v>0</v>
      </c>
      <c r="N128" s="38">
        <f t="shared" si="5"/>
        <v>0</v>
      </c>
      <c r="O128" s="36">
        <v>326</v>
      </c>
      <c r="P128" s="44">
        <v>5.1002083333333328</v>
      </c>
      <c r="Q128" s="61">
        <v>0</v>
      </c>
      <c r="R128" s="61">
        <v>0</v>
      </c>
      <c r="S128" s="61">
        <v>0</v>
      </c>
      <c r="T128" s="12"/>
    </row>
    <row r="129" spans="1:20" customFormat="1" x14ac:dyDescent="0.35">
      <c r="A129" s="2" t="s">
        <v>454</v>
      </c>
      <c r="B129" s="2"/>
      <c r="C129" s="3"/>
      <c r="D129" s="2" t="s">
        <v>170</v>
      </c>
      <c r="E129" s="2" t="s">
        <v>412</v>
      </c>
      <c r="F129" s="36">
        <v>16</v>
      </c>
      <c r="G129" s="36"/>
      <c r="H129" s="36"/>
      <c r="I129" s="36">
        <v>16</v>
      </c>
      <c r="J129" s="36">
        <v>0</v>
      </c>
      <c r="K129" s="36">
        <v>0</v>
      </c>
      <c r="L129" s="37">
        <f t="shared" si="3"/>
        <v>0.8</v>
      </c>
      <c r="M129" s="36">
        <f t="shared" si="4"/>
        <v>0</v>
      </c>
      <c r="N129" s="38">
        <f t="shared" si="5"/>
        <v>0</v>
      </c>
      <c r="O129" s="36">
        <v>502</v>
      </c>
      <c r="P129" s="44">
        <v>4.5027893518518525</v>
      </c>
      <c r="Q129" s="61">
        <v>0</v>
      </c>
      <c r="R129" s="61">
        <v>1</v>
      </c>
      <c r="S129" s="61">
        <v>1</v>
      </c>
      <c r="T129" s="12"/>
    </row>
    <row r="130" spans="1:20" customFormat="1" x14ac:dyDescent="0.35">
      <c r="A130" s="2" t="s">
        <v>454</v>
      </c>
      <c r="B130" s="2"/>
      <c r="C130" s="3"/>
      <c r="D130" s="2" t="s">
        <v>171</v>
      </c>
      <c r="E130" s="2" t="s">
        <v>412</v>
      </c>
      <c r="F130" s="36">
        <v>40</v>
      </c>
      <c r="G130" s="36"/>
      <c r="H130" s="36"/>
      <c r="I130" s="36">
        <v>40</v>
      </c>
      <c r="J130" s="36">
        <v>0</v>
      </c>
      <c r="K130" s="36">
        <v>0</v>
      </c>
      <c r="L130" s="37">
        <f t="shared" si="3"/>
        <v>2</v>
      </c>
      <c r="M130" s="36">
        <f t="shared" si="4"/>
        <v>0</v>
      </c>
      <c r="N130" s="38">
        <f t="shared" si="5"/>
        <v>0</v>
      </c>
      <c r="O130" s="36">
        <v>607</v>
      </c>
      <c r="P130" s="44">
        <v>4.5438425925925925</v>
      </c>
      <c r="Q130" s="61">
        <v>0</v>
      </c>
      <c r="R130" s="61">
        <v>0</v>
      </c>
      <c r="S130" s="61">
        <v>0</v>
      </c>
      <c r="T130" s="12"/>
    </row>
    <row r="131" spans="1:20" customFormat="1" x14ac:dyDescent="0.35">
      <c r="A131" s="2" t="s">
        <v>454</v>
      </c>
      <c r="B131" s="2"/>
      <c r="C131" s="3"/>
      <c r="D131" s="2" t="s">
        <v>172</v>
      </c>
      <c r="E131" s="2" t="s">
        <v>412</v>
      </c>
      <c r="F131" s="36">
        <v>42</v>
      </c>
      <c r="G131" s="36"/>
      <c r="H131" s="36"/>
      <c r="I131" s="36">
        <v>41</v>
      </c>
      <c r="J131" s="36">
        <v>1</v>
      </c>
      <c r="K131" s="36">
        <v>0</v>
      </c>
      <c r="L131" s="37">
        <f t="shared" ref="L131:L194" si="6">I131/20</f>
        <v>2.0499999999999998</v>
      </c>
      <c r="M131" s="36">
        <f t="shared" ref="M131:M194" si="7">K131</f>
        <v>0</v>
      </c>
      <c r="N131" s="38">
        <f t="shared" ref="N131:N194" si="8">IFERROR(I131/K131,0)</f>
        <v>0</v>
      </c>
      <c r="O131" s="36">
        <v>618</v>
      </c>
      <c r="P131" s="44">
        <v>4.479733796296296</v>
      </c>
      <c r="Q131" s="61">
        <v>0</v>
      </c>
      <c r="R131" s="61">
        <v>0</v>
      </c>
      <c r="S131" s="61">
        <v>0</v>
      </c>
      <c r="T131" s="12"/>
    </row>
    <row r="132" spans="1:20" customFormat="1" x14ac:dyDescent="0.35">
      <c r="A132" s="2" t="s">
        <v>455</v>
      </c>
      <c r="B132" s="2"/>
      <c r="C132" s="3"/>
      <c r="D132" s="2" t="s">
        <v>173</v>
      </c>
      <c r="E132" s="2" t="s">
        <v>412</v>
      </c>
      <c r="F132" s="36">
        <v>47</v>
      </c>
      <c r="G132" s="36"/>
      <c r="H132" s="36"/>
      <c r="I132" s="36">
        <v>47</v>
      </c>
      <c r="J132" s="36">
        <v>0</v>
      </c>
      <c r="K132" s="36">
        <v>0</v>
      </c>
      <c r="L132" s="37">
        <f t="shared" si="6"/>
        <v>2.35</v>
      </c>
      <c r="M132" s="36">
        <f t="shared" si="7"/>
        <v>0</v>
      </c>
      <c r="N132" s="38">
        <f t="shared" si="8"/>
        <v>0</v>
      </c>
      <c r="O132" s="36">
        <v>550</v>
      </c>
      <c r="P132" s="44">
        <v>4.9340972222222224</v>
      </c>
      <c r="Q132" s="61">
        <v>0</v>
      </c>
      <c r="R132" s="61">
        <v>0</v>
      </c>
      <c r="S132" s="61">
        <v>1</v>
      </c>
      <c r="T132" s="12"/>
    </row>
    <row r="133" spans="1:20" customFormat="1" x14ac:dyDescent="0.35">
      <c r="A133" s="2" t="s">
        <v>455</v>
      </c>
      <c r="B133" s="2"/>
      <c r="C133" s="3"/>
      <c r="D133" s="2" t="s">
        <v>174</v>
      </c>
      <c r="E133" s="2" t="s">
        <v>412</v>
      </c>
      <c r="F133" s="36">
        <v>54</v>
      </c>
      <c r="G133" s="36"/>
      <c r="H133" s="36"/>
      <c r="I133" s="36">
        <v>54</v>
      </c>
      <c r="J133" s="36">
        <v>0</v>
      </c>
      <c r="K133" s="36">
        <v>0</v>
      </c>
      <c r="L133" s="37">
        <f t="shared" si="6"/>
        <v>2.7</v>
      </c>
      <c r="M133" s="36">
        <f t="shared" si="7"/>
        <v>0</v>
      </c>
      <c r="N133" s="38">
        <f t="shared" si="8"/>
        <v>0</v>
      </c>
      <c r="O133" s="36">
        <v>644</v>
      </c>
      <c r="P133" s="44">
        <v>4.6272685185185187</v>
      </c>
      <c r="Q133" s="61">
        <v>0</v>
      </c>
      <c r="R133" s="61">
        <v>0</v>
      </c>
      <c r="S133" s="61">
        <v>0</v>
      </c>
      <c r="T133" s="12"/>
    </row>
    <row r="134" spans="1:20" customFormat="1" x14ac:dyDescent="0.35">
      <c r="A134" s="2" t="s">
        <v>456</v>
      </c>
      <c r="B134" s="2"/>
      <c r="C134" s="3"/>
      <c r="D134" s="2" t="s">
        <v>175</v>
      </c>
      <c r="E134" s="2" t="s">
        <v>412</v>
      </c>
      <c r="F134" s="36">
        <v>0</v>
      </c>
      <c r="G134" s="36"/>
      <c r="H134" s="36"/>
      <c r="I134" s="36">
        <v>0</v>
      </c>
      <c r="J134" s="36">
        <v>0</v>
      </c>
      <c r="K134" s="36">
        <v>0</v>
      </c>
      <c r="L134" s="37">
        <f t="shared" si="6"/>
        <v>0</v>
      </c>
      <c r="M134" s="36">
        <f t="shared" si="7"/>
        <v>0</v>
      </c>
      <c r="N134" s="38">
        <f t="shared" si="8"/>
        <v>0</v>
      </c>
      <c r="O134" s="36">
        <v>0</v>
      </c>
      <c r="P134" s="44">
        <v>2.7831249999999996</v>
      </c>
      <c r="Q134" s="61">
        <v>0</v>
      </c>
      <c r="R134" s="61">
        <v>0</v>
      </c>
      <c r="S134" s="61">
        <v>0</v>
      </c>
      <c r="T134" s="12"/>
    </row>
    <row r="135" spans="1:20" customFormat="1" x14ac:dyDescent="0.35">
      <c r="A135" s="2" t="s">
        <v>455</v>
      </c>
      <c r="B135" s="2"/>
      <c r="C135" s="3"/>
      <c r="D135" s="2" t="s">
        <v>176</v>
      </c>
      <c r="E135" s="2" t="s">
        <v>412</v>
      </c>
      <c r="F135" s="36">
        <v>45</v>
      </c>
      <c r="G135" s="36"/>
      <c r="H135" s="36"/>
      <c r="I135" s="36">
        <v>44</v>
      </c>
      <c r="J135" s="36">
        <v>0</v>
      </c>
      <c r="K135" s="36">
        <v>0</v>
      </c>
      <c r="L135" s="37">
        <f t="shared" si="6"/>
        <v>2.2000000000000002</v>
      </c>
      <c r="M135" s="36">
        <f t="shared" si="7"/>
        <v>0</v>
      </c>
      <c r="N135" s="38">
        <f t="shared" si="8"/>
        <v>0</v>
      </c>
      <c r="O135" s="36">
        <v>1240</v>
      </c>
      <c r="P135" s="44">
        <v>4.7875925925925928</v>
      </c>
      <c r="Q135" s="61">
        <v>0</v>
      </c>
      <c r="R135" s="61">
        <v>0</v>
      </c>
      <c r="S135" s="61">
        <v>0</v>
      </c>
      <c r="T135" s="12"/>
    </row>
    <row r="136" spans="1:20" customFormat="1" x14ac:dyDescent="0.35">
      <c r="A136" s="2" t="s">
        <v>457</v>
      </c>
      <c r="B136" s="2"/>
      <c r="C136" s="3"/>
      <c r="D136" s="2" t="s">
        <v>177</v>
      </c>
      <c r="E136" s="2" t="s">
        <v>412</v>
      </c>
      <c r="F136" s="36">
        <v>5</v>
      </c>
      <c r="G136" s="36"/>
      <c r="H136" s="36"/>
      <c r="I136" s="36">
        <v>4</v>
      </c>
      <c r="J136" s="36">
        <v>0</v>
      </c>
      <c r="K136" s="36">
        <v>0</v>
      </c>
      <c r="L136" s="37">
        <f t="shared" si="6"/>
        <v>0.2</v>
      </c>
      <c r="M136" s="36">
        <f t="shared" si="7"/>
        <v>0</v>
      </c>
      <c r="N136" s="38">
        <f t="shared" si="8"/>
        <v>0</v>
      </c>
      <c r="O136" s="36">
        <v>64</v>
      </c>
      <c r="P136" s="44">
        <v>0.71225694444444443</v>
      </c>
      <c r="Q136" s="61">
        <v>0</v>
      </c>
      <c r="R136" s="61">
        <v>0</v>
      </c>
      <c r="S136" s="61">
        <v>0</v>
      </c>
      <c r="T136" s="12"/>
    </row>
    <row r="137" spans="1:20" customFormat="1" x14ac:dyDescent="0.35">
      <c r="A137" s="2" t="s">
        <v>457</v>
      </c>
      <c r="B137" s="2"/>
      <c r="C137" s="3"/>
      <c r="D137" s="2" t="s">
        <v>178</v>
      </c>
      <c r="E137" s="2" t="s">
        <v>412</v>
      </c>
      <c r="F137" s="36">
        <v>44</v>
      </c>
      <c r="G137" s="36"/>
      <c r="H137" s="36"/>
      <c r="I137" s="36">
        <v>38</v>
      </c>
      <c r="J137" s="36">
        <v>0</v>
      </c>
      <c r="K137" s="36">
        <v>0</v>
      </c>
      <c r="L137" s="37">
        <f t="shared" si="6"/>
        <v>1.9</v>
      </c>
      <c r="M137" s="36">
        <f t="shared" si="7"/>
        <v>0</v>
      </c>
      <c r="N137" s="38">
        <f t="shared" si="8"/>
        <v>0</v>
      </c>
      <c r="O137" s="36">
        <v>242</v>
      </c>
      <c r="P137" s="44">
        <v>4.9039004629629641</v>
      </c>
      <c r="Q137" s="61">
        <v>0</v>
      </c>
      <c r="R137" s="61">
        <v>0</v>
      </c>
      <c r="S137" s="61">
        <v>0</v>
      </c>
      <c r="T137" s="12"/>
    </row>
    <row r="138" spans="1:20" customFormat="1" x14ac:dyDescent="0.35">
      <c r="A138" s="2" t="s">
        <v>457</v>
      </c>
      <c r="B138" s="2"/>
      <c r="C138" s="3"/>
      <c r="D138" s="2" t="s">
        <v>179</v>
      </c>
      <c r="E138" s="2" t="s">
        <v>412</v>
      </c>
      <c r="F138" s="36">
        <v>41</v>
      </c>
      <c r="G138" s="36"/>
      <c r="H138" s="36"/>
      <c r="I138" s="36">
        <v>39</v>
      </c>
      <c r="J138" s="36">
        <v>0</v>
      </c>
      <c r="K138" s="36">
        <v>0</v>
      </c>
      <c r="L138" s="37">
        <f t="shared" si="6"/>
        <v>1.95</v>
      </c>
      <c r="M138" s="36">
        <f t="shared" si="7"/>
        <v>0</v>
      </c>
      <c r="N138" s="38">
        <f t="shared" si="8"/>
        <v>0</v>
      </c>
      <c r="O138" s="36">
        <v>429</v>
      </c>
      <c r="P138" s="44">
        <v>4.4257754629629638</v>
      </c>
      <c r="Q138" s="61">
        <v>0</v>
      </c>
      <c r="R138" s="61">
        <v>0</v>
      </c>
      <c r="S138" s="61">
        <v>0</v>
      </c>
      <c r="T138" s="12"/>
    </row>
    <row r="139" spans="1:20" customFormat="1" x14ac:dyDescent="0.35">
      <c r="A139" s="2" t="s">
        <v>458</v>
      </c>
      <c r="B139" s="2"/>
      <c r="C139" s="3"/>
      <c r="D139" s="2" t="s">
        <v>180</v>
      </c>
      <c r="E139" s="2" t="s">
        <v>412</v>
      </c>
      <c r="F139" s="36">
        <v>8</v>
      </c>
      <c r="G139" s="36"/>
      <c r="H139" s="36"/>
      <c r="I139" s="36">
        <v>8</v>
      </c>
      <c r="J139" s="36">
        <v>0</v>
      </c>
      <c r="K139" s="36">
        <v>0</v>
      </c>
      <c r="L139" s="37">
        <f t="shared" si="6"/>
        <v>0.4</v>
      </c>
      <c r="M139" s="36">
        <f t="shared" si="7"/>
        <v>0</v>
      </c>
      <c r="N139" s="38">
        <f t="shared" si="8"/>
        <v>0</v>
      </c>
      <c r="O139" s="36">
        <v>16</v>
      </c>
      <c r="P139" s="44">
        <v>0.2343402777777778</v>
      </c>
      <c r="Q139" s="61">
        <v>0</v>
      </c>
      <c r="R139" s="61">
        <v>0</v>
      </c>
      <c r="S139" s="61">
        <v>0</v>
      </c>
      <c r="T139" s="12"/>
    </row>
    <row r="140" spans="1:20" customFormat="1" x14ac:dyDescent="0.35">
      <c r="A140" s="2" t="s">
        <v>458</v>
      </c>
      <c r="B140" s="2"/>
      <c r="C140" s="3"/>
      <c r="D140" s="2" t="s">
        <v>181</v>
      </c>
      <c r="E140" s="2" t="s">
        <v>412</v>
      </c>
      <c r="F140" s="36">
        <v>29</v>
      </c>
      <c r="G140" s="36"/>
      <c r="H140" s="36"/>
      <c r="I140" s="36">
        <v>29</v>
      </c>
      <c r="J140" s="36">
        <v>0</v>
      </c>
      <c r="K140" s="36">
        <v>0</v>
      </c>
      <c r="L140" s="37">
        <f t="shared" si="6"/>
        <v>1.45</v>
      </c>
      <c r="M140" s="36">
        <f t="shared" si="7"/>
        <v>0</v>
      </c>
      <c r="N140" s="38">
        <f t="shared" si="8"/>
        <v>0</v>
      </c>
      <c r="O140" s="36">
        <v>528</v>
      </c>
      <c r="P140" s="44">
        <v>4.3372916666666654</v>
      </c>
      <c r="Q140" s="61">
        <v>0</v>
      </c>
      <c r="R140" s="61">
        <v>1</v>
      </c>
      <c r="S140" s="61">
        <v>1</v>
      </c>
      <c r="T140" s="12"/>
    </row>
    <row r="141" spans="1:20" customFormat="1" x14ac:dyDescent="0.35">
      <c r="A141" s="2" t="s">
        <v>459</v>
      </c>
      <c r="B141" s="2"/>
      <c r="C141" s="3"/>
      <c r="D141" s="2" t="s">
        <v>182</v>
      </c>
      <c r="E141" s="2" t="s">
        <v>412</v>
      </c>
      <c r="F141" s="36">
        <v>64</v>
      </c>
      <c r="G141" s="36"/>
      <c r="H141" s="36"/>
      <c r="I141" s="36">
        <v>62</v>
      </c>
      <c r="J141" s="36">
        <v>0</v>
      </c>
      <c r="K141" s="36">
        <v>0</v>
      </c>
      <c r="L141" s="37">
        <f t="shared" si="6"/>
        <v>3.1</v>
      </c>
      <c r="M141" s="36">
        <f t="shared" si="7"/>
        <v>0</v>
      </c>
      <c r="N141" s="38">
        <f t="shared" si="8"/>
        <v>0</v>
      </c>
      <c r="O141" s="36">
        <v>824</v>
      </c>
      <c r="P141" s="44">
        <v>5.0584490740740744</v>
      </c>
      <c r="Q141" s="61">
        <v>0</v>
      </c>
      <c r="R141" s="61">
        <v>0</v>
      </c>
      <c r="S141" s="61">
        <v>0</v>
      </c>
      <c r="T141" s="12"/>
    </row>
    <row r="142" spans="1:20" customFormat="1" x14ac:dyDescent="0.35">
      <c r="A142" s="2" t="s">
        <v>459</v>
      </c>
      <c r="B142" s="2"/>
      <c r="C142" s="3"/>
      <c r="D142" s="2" t="s">
        <v>183</v>
      </c>
      <c r="E142" s="2" t="s">
        <v>412</v>
      </c>
      <c r="F142" s="36">
        <v>45</v>
      </c>
      <c r="G142" s="36"/>
      <c r="H142" s="36"/>
      <c r="I142" s="36">
        <v>45</v>
      </c>
      <c r="J142" s="36">
        <v>0</v>
      </c>
      <c r="K142" s="36">
        <v>0</v>
      </c>
      <c r="L142" s="37">
        <f t="shared" si="6"/>
        <v>2.25</v>
      </c>
      <c r="M142" s="36">
        <f t="shared" si="7"/>
        <v>0</v>
      </c>
      <c r="N142" s="38">
        <f t="shared" si="8"/>
        <v>0</v>
      </c>
      <c r="O142" s="36">
        <v>593</v>
      </c>
      <c r="P142" s="44">
        <v>4.5635879629629637</v>
      </c>
      <c r="Q142" s="61">
        <v>0</v>
      </c>
      <c r="R142" s="61">
        <v>0</v>
      </c>
      <c r="S142" s="61">
        <v>1</v>
      </c>
      <c r="T142" s="12"/>
    </row>
    <row r="143" spans="1:20" customFormat="1" x14ac:dyDescent="0.35">
      <c r="A143" s="2" t="s">
        <v>459</v>
      </c>
      <c r="B143" s="2"/>
      <c r="C143" s="3"/>
      <c r="D143" s="2" t="s">
        <v>184</v>
      </c>
      <c r="E143" s="2" t="s">
        <v>412</v>
      </c>
      <c r="F143" s="36">
        <v>57</v>
      </c>
      <c r="G143" s="36"/>
      <c r="H143" s="36"/>
      <c r="I143" s="36">
        <v>57</v>
      </c>
      <c r="J143" s="36">
        <v>0</v>
      </c>
      <c r="K143" s="36">
        <v>0</v>
      </c>
      <c r="L143" s="37">
        <f t="shared" si="6"/>
        <v>2.85</v>
      </c>
      <c r="M143" s="36">
        <f t="shared" si="7"/>
        <v>0</v>
      </c>
      <c r="N143" s="38">
        <f t="shared" si="8"/>
        <v>0</v>
      </c>
      <c r="O143" s="36">
        <v>584</v>
      </c>
      <c r="P143" s="44">
        <v>4.9186689814814812</v>
      </c>
      <c r="Q143" s="61">
        <v>0</v>
      </c>
      <c r="R143" s="61">
        <v>1</v>
      </c>
      <c r="S143" s="61">
        <v>0</v>
      </c>
      <c r="T143" s="12"/>
    </row>
    <row r="144" spans="1:20" customFormat="1" x14ac:dyDescent="0.35">
      <c r="A144" s="2" t="s">
        <v>459</v>
      </c>
      <c r="B144" s="2"/>
      <c r="C144" s="3"/>
      <c r="D144" s="2" t="s">
        <v>185</v>
      </c>
      <c r="E144" s="2" t="s">
        <v>412</v>
      </c>
      <c r="F144" s="36">
        <v>50</v>
      </c>
      <c r="G144" s="36"/>
      <c r="H144" s="36"/>
      <c r="I144" s="36">
        <v>50</v>
      </c>
      <c r="J144" s="36">
        <v>0</v>
      </c>
      <c r="K144" s="36">
        <v>0</v>
      </c>
      <c r="L144" s="37">
        <f t="shared" si="6"/>
        <v>2.5</v>
      </c>
      <c r="M144" s="36">
        <f t="shared" si="7"/>
        <v>0</v>
      </c>
      <c r="N144" s="38">
        <f t="shared" si="8"/>
        <v>0</v>
      </c>
      <c r="O144" s="36">
        <v>711</v>
      </c>
      <c r="P144" s="44">
        <v>4.1495486111111113</v>
      </c>
      <c r="Q144" s="61">
        <v>0</v>
      </c>
      <c r="R144" s="61">
        <v>1</v>
      </c>
      <c r="S144" s="61">
        <v>0</v>
      </c>
      <c r="T144" s="12"/>
    </row>
    <row r="145" spans="1:20" customFormat="1" x14ac:dyDescent="0.35">
      <c r="A145" s="2" t="s">
        <v>460</v>
      </c>
      <c r="B145" s="2"/>
      <c r="C145" s="3"/>
      <c r="D145" s="2" t="s">
        <v>186</v>
      </c>
      <c r="E145" s="2" t="s">
        <v>412</v>
      </c>
      <c r="F145" s="36">
        <v>29</v>
      </c>
      <c r="G145" s="36"/>
      <c r="H145" s="36"/>
      <c r="I145" s="36">
        <v>28</v>
      </c>
      <c r="J145" s="36">
        <v>0</v>
      </c>
      <c r="K145" s="36">
        <v>0</v>
      </c>
      <c r="L145" s="37">
        <f t="shared" si="6"/>
        <v>1.4</v>
      </c>
      <c r="M145" s="36">
        <f t="shared" si="7"/>
        <v>0</v>
      </c>
      <c r="N145" s="38">
        <f t="shared" si="8"/>
        <v>0</v>
      </c>
      <c r="O145" s="36">
        <v>628</v>
      </c>
      <c r="P145" s="44">
        <v>4.9241435185185178</v>
      </c>
      <c r="Q145" s="61">
        <v>2</v>
      </c>
      <c r="R145" s="61">
        <v>1</v>
      </c>
      <c r="S145" s="61">
        <v>0</v>
      </c>
      <c r="T145" s="12"/>
    </row>
    <row r="146" spans="1:20" customFormat="1" x14ac:dyDescent="0.35">
      <c r="A146" s="2" t="s">
        <v>461</v>
      </c>
      <c r="B146" s="2"/>
      <c r="C146" s="3"/>
      <c r="D146" s="2" t="s">
        <v>187</v>
      </c>
      <c r="E146" s="2" t="s">
        <v>414</v>
      </c>
      <c r="F146" s="36">
        <v>10</v>
      </c>
      <c r="G146" s="36"/>
      <c r="H146" s="36"/>
      <c r="I146" s="36">
        <v>7</v>
      </c>
      <c r="J146" s="36">
        <v>0</v>
      </c>
      <c r="K146" s="36">
        <v>0</v>
      </c>
      <c r="L146" s="37">
        <f t="shared" si="6"/>
        <v>0.35</v>
      </c>
      <c r="M146" s="36">
        <f t="shared" si="7"/>
        <v>0</v>
      </c>
      <c r="N146" s="38">
        <f t="shared" si="8"/>
        <v>0</v>
      </c>
      <c r="O146" s="36">
        <v>322</v>
      </c>
      <c r="P146" s="44">
        <v>4.9428472222222215</v>
      </c>
      <c r="Q146" s="61">
        <v>1</v>
      </c>
      <c r="R146" s="61">
        <v>0</v>
      </c>
      <c r="S146" s="61">
        <v>0</v>
      </c>
      <c r="T146" s="12"/>
    </row>
    <row r="147" spans="1:20" customFormat="1" x14ac:dyDescent="0.35">
      <c r="A147" s="2" t="s">
        <v>461</v>
      </c>
      <c r="B147" s="2"/>
      <c r="C147" s="3"/>
      <c r="D147" s="2" t="s">
        <v>188</v>
      </c>
      <c r="E147" s="2" t="s">
        <v>414</v>
      </c>
      <c r="F147" s="36">
        <v>8</v>
      </c>
      <c r="G147" s="36"/>
      <c r="H147" s="36"/>
      <c r="I147" s="36">
        <v>5</v>
      </c>
      <c r="J147" s="36">
        <v>3</v>
      </c>
      <c r="K147" s="36">
        <v>0</v>
      </c>
      <c r="L147" s="37">
        <f t="shared" si="6"/>
        <v>0.25</v>
      </c>
      <c r="M147" s="36">
        <f t="shared" si="7"/>
        <v>0</v>
      </c>
      <c r="N147" s="38">
        <f t="shared" si="8"/>
        <v>0</v>
      </c>
      <c r="O147" s="36">
        <v>725</v>
      </c>
      <c r="P147" s="44">
        <v>5.1296643518518525</v>
      </c>
      <c r="Q147" s="61">
        <v>0</v>
      </c>
      <c r="R147" s="61">
        <v>0</v>
      </c>
      <c r="S147" s="61">
        <v>1</v>
      </c>
      <c r="T147" s="12"/>
    </row>
    <row r="148" spans="1:20" customFormat="1" x14ac:dyDescent="0.35">
      <c r="A148" s="2" t="s">
        <v>461</v>
      </c>
      <c r="B148" s="2"/>
      <c r="C148" s="3"/>
      <c r="D148" s="2" t="s">
        <v>189</v>
      </c>
      <c r="E148" s="2" t="s">
        <v>414</v>
      </c>
      <c r="F148" s="36">
        <v>7</v>
      </c>
      <c r="G148" s="36"/>
      <c r="H148" s="36"/>
      <c r="I148" s="36">
        <v>3</v>
      </c>
      <c r="J148" s="36">
        <v>0</v>
      </c>
      <c r="K148" s="36">
        <v>0</v>
      </c>
      <c r="L148" s="37">
        <f t="shared" si="6"/>
        <v>0.15</v>
      </c>
      <c r="M148" s="36">
        <f t="shared" si="7"/>
        <v>0</v>
      </c>
      <c r="N148" s="38">
        <f t="shared" si="8"/>
        <v>0</v>
      </c>
      <c r="O148" s="36">
        <v>1090</v>
      </c>
      <c r="P148" s="44">
        <v>5.5749305555555555</v>
      </c>
      <c r="Q148" s="61">
        <v>0</v>
      </c>
      <c r="R148" s="61">
        <v>1</v>
      </c>
      <c r="S148" s="61">
        <v>0</v>
      </c>
      <c r="T148" s="12"/>
    </row>
    <row r="149" spans="1:20" customFormat="1" x14ac:dyDescent="0.35">
      <c r="A149" s="2" t="s">
        <v>461</v>
      </c>
      <c r="B149" s="2"/>
      <c r="C149" s="3"/>
      <c r="D149" s="2" t="s">
        <v>190</v>
      </c>
      <c r="E149" s="2" t="s">
        <v>414</v>
      </c>
      <c r="F149" s="36">
        <v>0</v>
      </c>
      <c r="G149" s="36"/>
      <c r="H149" s="36"/>
      <c r="I149" s="36">
        <v>0</v>
      </c>
      <c r="J149" s="36">
        <v>0</v>
      </c>
      <c r="K149" s="36">
        <v>0</v>
      </c>
      <c r="L149" s="37">
        <f t="shared" si="6"/>
        <v>0</v>
      </c>
      <c r="M149" s="36">
        <f t="shared" si="7"/>
        <v>0</v>
      </c>
      <c r="N149" s="38">
        <f t="shared" si="8"/>
        <v>0</v>
      </c>
      <c r="O149" s="36">
        <v>129</v>
      </c>
      <c r="P149" s="44">
        <v>5.056597222222222</v>
      </c>
      <c r="Q149" s="61">
        <v>0</v>
      </c>
      <c r="R149" s="61">
        <v>0</v>
      </c>
      <c r="S149" s="61">
        <v>0</v>
      </c>
      <c r="T149" s="12"/>
    </row>
    <row r="150" spans="1:20" customFormat="1" x14ac:dyDescent="0.35">
      <c r="A150" s="2" t="s">
        <v>461</v>
      </c>
      <c r="B150" s="2"/>
      <c r="C150" s="3"/>
      <c r="D150" s="2" t="s">
        <v>191</v>
      </c>
      <c r="E150" s="2" t="s">
        <v>414</v>
      </c>
      <c r="F150" s="36">
        <v>9</v>
      </c>
      <c r="G150" s="36"/>
      <c r="H150" s="36"/>
      <c r="I150" s="36">
        <v>5</v>
      </c>
      <c r="J150" s="36">
        <v>2</v>
      </c>
      <c r="K150" s="36">
        <v>0</v>
      </c>
      <c r="L150" s="37">
        <f t="shared" si="6"/>
        <v>0.25</v>
      </c>
      <c r="M150" s="36">
        <f t="shared" si="7"/>
        <v>0</v>
      </c>
      <c r="N150" s="38">
        <f t="shared" si="8"/>
        <v>0</v>
      </c>
      <c r="O150" s="36">
        <v>541</v>
      </c>
      <c r="P150" s="44">
        <v>4.2420601851851858</v>
      </c>
      <c r="Q150" s="61">
        <v>1</v>
      </c>
      <c r="R150" s="61">
        <v>0</v>
      </c>
      <c r="S150" s="61">
        <v>0</v>
      </c>
      <c r="T150" s="12"/>
    </row>
    <row r="151" spans="1:20" customFormat="1" x14ac:dyDescent="0.35">
      <c r="A151" s="2" t="s">
        <v>462</v>
      </c>
      <c r="B151" s="2"/>
      <c r="C151" s="3"/>
      <c r="D151" s="2" t="s">
        <v>192</v>
      </c>
      <c r="E151" s="2" t="s">
        <v>414</v>
      </c>
      <c r="F151" s="36">
        <v>0</v>
      </c>
      <c r="G151" s="36"/>
      <c r="H151" s="36"/>
      <c r="I151" s="36">
        <v>0</v>
      </c>
      <c r="J151" s="36">
        <v>0</v>
      </c>
      <c r="K151" s="36">
        <v>0</v>
      </c>
      <c r="L151" s="37">
        <f t="shared" si="6"/>
        <v>0</v>
      </c>
      <c r="M151" s="36">
        <f t="shared" si="7"/>
        <v>0</v>
      </c>
      <c r="N151" s="38">
        <f t="shared" si="8"/>
        <v>0</v>
      </c>
      <c r="O151" s="36">
        <v>16</v>
      </c>
      <c r="P151" s="44">
        <v>4.0989351851851845</v>
      </c>
      <c r="Q151" s="61">
        <v>0</v>
      </c>
      <c r="R151" s="61">
        <v>0</v>
      </c>
      <c r="S151" s="61">
        <v>0</v>
      </c>
      <c r="T151" s="12"/>
    </row>
    <row r="152" spans="1:20" customFormat="1" x14ac:dyDescent="0.35">
      <c r="A152" s="2" t="s">
        <v>462</v>
      </c>
      <c r="B152" s="2"/>
      <c r="C152" s="3"/>
      <c r="D152" s="2" t="s">
        <v>193</v>
      </c>
      <c r="E152" s="2" t="s">
        <v>414</v>
      </c>
      <c r="F152" s="36">
        <v>9</v>
      </c>
      <c r="G152" s="36"/>
      <c r="H152" s="36"/>
      <c r="I152" s="36">
        <v>1</v>
      </c>
      <c r="J152" s="36">
        <v>0</v>
      </c>
      <c r="K152" s="36">
        <v>0</v>
      </c>
      <c r="L152" s="37">
        <f t="shared" si="6"/>
        <v>0.05</v>
      </c>
      <c r="M152" s="36">
        <f t="shared" si="7"/>
        <v>0</v>
      </c>
      <c r="N152" s="38">
        <f t="shared" si="8"/>
        <v>0</v>
      </c>
      <c r="O152" s="36">
        <v>335</v>
      </c>
      <c r="P152" s="44">
        <v>4.2071990740740741</v>
      </c>
      <c r="Q152" s="61">
        <v>0</v>
      </c>
      <c r="R152" s="61">
        <v>0</v>
      </c>
      <c r="S152" s="61">
        <v>0</v>
      </c>
      <c r="T152" s="12"/>
    </row>
    <row r="153" spans="1:20" customFormat="1" x14ac:dyDescent="0.35">
      <c r="A153" s="2" t="s">
        <v>462</v>
      </c>
      <c r="B153" s="2"/>
      <c r="C153" s="3"/>
      <c r="D153" s="2" t="s">
        <v>194</v>
      </c>
      <c r="E153" s="2" t="s">
        <v>414</v>
      </c>
      <c r="F153" s="36">
        <v>5</v>
      </c>
      <c r="G153" s="36"/>
      <c r="H153" s="36"/>
      <c r="I153" s="36">
        <v>2</v>
      </c>
      <c r="J153" s="36">
        <v>0</v>
      </c>
      <c r="K153" s="36">
        <v>0</v>
      </c>
      <c r="L153" s="37">
        <f t="shared" si="6"/>
        <v>0.1</v>
      </c>
      <c r="M153" s="36">
        <f t="shared" si="7"/>
        <v>0</v>
      </c>
      <c r="N153" s="38">
        <f t="shared" si="8"/>
        <v>0</v>
      </c>
      <c r="O153" s="36">
        <v>940</v>
      </c>
      <c r="P153" s="44">
        <v>5.0870949074074074</v>
      </c>
      <c r="Q153" s="61">
        <v>0</v>
      </c>
      <c r="R153" s="61">
        <v>0</v>
      </c>
      <c r="S153" s="61">
        <v>0</v>
      </c>
      <c r="T153" s="12"/>
    </row>
    <row r="154" spans="1:20" customFormat="1" x14ac:dyDescent="0.35">
      <c r="A154" s="2" t="s">
        <v>463</v>
      </c>
      <c r="B154" s="2"/>
      <c r="C154" s="3"/>
      <c r="D154" s="2" t="s">
        <v>195</v>
      </c>
      <c r="E154" s="2" t="s">
        <v>414</v>
      </c>
      <c r="F154" s="36">
        <v>0</v>
      </c>
      <c r="G154" s="36"/>
      <c r="H154" s="36"/>
      <c r="I154" s="36">
        <v>0</v>
      </c>
      <c r="J154" s="36">
        <v>0</v>
      </c>
      <c r="K154" s="36">
        <v>0</v>
      </c>
      <c r="L154" s="37">
        <f t="shared" si="6"/>
        <v>0</v>
      </c>
      <c r="M154" s="36">
        <f t="shared" si="7"/>
        <v>0</v>
      </c>
      <c r="N154" s="38">
        <f t="shared" si="8"/>
        <v>0</v>
      </c>
      <c r="O154" s="36">
        <v>0</v>
      </c>
      <c r="P154" s="44">
        <v>0</v>
      </c>
      <c r="Q154" s="61">
        <v>0</v>
      </c>
      <c r="R154" s="61">
        <v>0</v>
      </c>
      <c r="S154" s="61">
        <v>0</v>
      </c>
      <c r="T154" s="12"/>
    </row>
    <row r="155" spans="1:20" customFormat="1" x14ac:dyDescent="0.35">
      <c r="A155" s="2" t="s">
        <v>463</v>
      </c>
      <c r="B155" s="2"/>
      <c r="C155" s="3"/>
      <c r="D155" s="2" t="s">
        <v>196</v>
      </c>
      <c r="E155" s="2" t="s">
        <v>414</v>
      </c>
      <c r="F155" s="36">
        <v>0</v>
      </c>
      <c r="G155" s="36"/>
      <c r="H155" s="36"/>
      <c r="I155" s="36">
        <v>0</v>
      </c>
      <c r="J155" s="36">
        <v>0</v>
      </c>
      <c r="K155" s="36">
        <v>0</v>
      </c>
      <c r="L155" s="37">
        <f t="shared" si="6"/>
        <v>0</v>
      </c>
      <c r="M155" s="36">
        <f t="shared" si="7"/>
        <v>0</v>
      </c>
      <c r="N155" s="38">
        <f t="shared" si="8"/>
        <v>0</v>
      </c>
      <c r="O155" s="36">
        <v>0</v>
      </c>
      <c r="P155" s="44">
        <v>0</v>
      </c>
      <c r="Q155" s="61">
        <v>0</v>
      </c>
      <c r="R155" s="61">
        <v>0</v>
      </c>
      <c r="S155" s="61">
        <v>0</v>
      </c>
      <c r="T155" s="12"/>
    </row>
    <row r="156" spans="1:20" customFormat="1" x14ac:dyDescent="0.35">
      <c r="A156" s="2" t="s">
        <v>464</v>
      </c>
      <c r="B156" s="2"/>
      <c r="C156" s="3"/>
      <c r="D156" s="2" t="s">
        <v>197</v>
      </c>
      <c r="E156" s="2" t="s">
        <v>414</v>
      </c>
      <c r="F156" s="36">
        <v>4</v>
      </c>
      <c r="G156" s="36"/>
      <c r="H156" s="36"/>
      <c r="I156" s="36">
        <v>3</v>
      </c>
      <c r="J156" s="36">
        <v>0</v>
      </c>
      <c r="K156" s="36">
        <v>0</v>
      </c>
      <c r="L156" s="37">
        <f t="shared" si="6"/>
        <v>0.15</v>
      </c>
      <c r="M156" s="36">
        <f t="shared" si="7"/>
        <v>0</v>
      </c>
      <c r="N156" s="38">
        <f t="shared" si="8"/>
        <v>0</v>
      </c>
      <c r="O156" s="36">
        <v>943</v>
      </c>
      <c r="P156" s="44">
        <v>4.4324652777777773</v>
      </c>
      <c r="Q156" s="61">
        <v>0</v>
      </c>
      <c r="R156" s="61">
        <v>0</v>
      </c>
      <c r="S156" s="61">
        <v>0</v>
      </c>
      <c r="T156" s="12"/>
    </row>
    <row r="157" spans="1:20" customFormat="1" x14ac:dyDescent="0.35">
      <c r="A157" s="2" t="s">
        <v>465</v>
      </c>
      <c r="B157" s="2"/>
      <c r="C157" s="3"/>
      <c r="D157" s="2" t="s">
        <v>198</v>
      </c>
      <c r="E157" s="2" t="s">
        <v>414</v>
      </c>
      <c r="F157" s="36">
        <v>7</v>
      </c>
      <c r="G157" s="36"/>
      <c r="H157" s="36"/>
      <c r="I157" s="36">
        <v>2</v>
      </c>
      <c r="J157" s="36">
        <v>0</v>
      </c>
      <c r="K157" s="36">
        <v>0</v>
      </c>
      <c r="L157" s="37">
        <f t="shared" si="6"/>
        <v>0.1</v>
      </c>
      <c r="M157" s="36">
        <f t="shared" si="7"/>
        <v>0</v>
      </c>
      <c r="N157" s="38">
        <f t="shared" si="8"/>
        <v>0</v>
      </c>
      <c r="O157" s="36">
        <v>511</v>
      </c>
      <c r="P157" s="44">
        <v>3.8384027777777785</v>
      </c>
      <c r="Q157" s="61">
        <v>0</v>
      </c>
      <c r="R157" s="61">
        <v>0</v>
      </c>
      <c r="S157" s="61">
        <v>0</v>
      </c>
      <c r="T157" s="12"/>
    </row>
    <row r="158" spans="1:20" customFormat="1" x14ac:dyDescent="0.35">
      <c r="A158" s="2" t="s">
        <v>466</v>
      </c>
      <c r="B158" s="2"/>
      <c r="C158" s="3"/>
      <c r="D158" s="2" t="s">
        <v>199</v>
      </c>
      <c r="E158" s="2" t="s">
        <v>414</v>
      </c>
      <c r="F158" s="36">
        <v>6</v>
      </c>
      <c r="G158" s="36"/>
      <c r="H158" s="36"/>
      <c r="I158" s="36">
        <v>3</v>
      </c>
      <c r="J158" s="36">
        <v>2</v>
      </c>
      <c r="K158" s="36">
        <v>0</v>
      </c>
      <c r="L158" s="37">
        <f t="shared" si="6"/>
        <v>0.15</v>
      </c>
      <c r="M158" s="36">
        <f t="shared" si="7"/>
        <v>0</v>
      </c>
      <c r="N158" s="38">
        <f t="shared" si="8"/>
        <v>0</v>
      </c>
      <c r="O158" s="36">
        <v>553</v>
      </c>
      <c r="P158" s="44">
        <v>4.2147106481481487</v>
      </c>
      <c r="Q158" s="61">
        <v>0</v>
      </c>
      <c r="R158" s="61">
        <v>0</v>
      </c>
      <c r="S158" s="61">
        <v>0</v>
      </c>
      <c r="T158" s="12"/>
    </row>
    <row r="159" spans="1:20" customFormat="1" x14ac:dyDescent="0.35">
      <c r="A159" s="2" t="s">
        <v>466</v>
      </c>
      <c r="B159" s="2"/>
      <c r="C159" s="3"/>
      <c r="D159" s="2" t="s">
        <v>200</v>
      </c>
      <c r="E159" s="2" t="s">
        <v>414</v>
      </c>
      <c r="F159" s="36">
        <v>6</v>
      </c>
      <c r="G159" s="36"/>
      <c r="H159" s="36"/>
      <c r="I159" s="36">
        <v>3</v>
      </c>
      <c r="J159" s="36">
        <v>0</v>
      </c>
      <c r="K159" s="36">
        <v>0</v>
      </c>
      <c r="L159" s="37">
        <f t="shared" si="6"/>
        <v>0.15</v>
      </c>
      <c r="M159" s="36">
        <f t="shared" si="7"/>
        <v>0</v>
      </c>
      <c r="N159" s="38">
        <f t="shared" si="8"/>
        <v>0</v>
      </c>
      <c r="O159" s="36">
        <v>868</v>
      </c>
      <c r="P159" s="44">
        <v>3.8548842592592596</v>
      </c>
      <c r="Q159" s="61">
        <v>0</v>
      </c>
      <c r="R159" s="61">
        <v>0</v>
      </c>
      <c r="S159" s="61">
        <v>0</v>
      </c>
      <c r="T159" s="12"/>
    </row>
    <row r="160" spans="1:20" customFormat="1" x14ac:dyDescent="0.35">
      <c r="A160" s="2" t="s">
        <v>467</v>
      </c>
      <c r="B160" s="2"/>
      <c r="C160" s="3"/>
      <c r="D160" s="2" t="s">
        <v>201</v>
      </c>
      <c r="E160" s="2" t="s">
        <v>414</v>
      </c>
      <c r="F160" s="36">
        <v>1</v>
      </c>
      <c r="G160" s="36"/>
      <c r="H160" s="36"/>
      <c r="I160" s="36">
        <v>2</v>
      </c>
      <c r="J160" s="36">
        <v>0</v>
      </c>
      <c r="K160" s="36">
        <v>0</v>
      </c>
      <c r="L160" s="37">
        <f t="shared" si="6"/>
        <v>0.1</v>
      </c>
      <c r="M160" s="36">
        <f t="shared" si="7"/>
        <v>0</v>
      </c>
      <c r="N160" s="38">
        <f t="shared" si="8"/>
        <v>0</v>
      </c>
      <c r="O160" s="36">
        <v>47</v>
      </c>
      <c r="P160" s="44">
        <v>3.811747685185185</v>
      </c>
      <c r="Q160" s="61">
        <v>0</v>
      </c>
      <c r="R160" s="61">
        <v>0</v>
      </c>
      <c r="S160" s="61">
        <v>0</v>
      </c>
      <c r="T160" s="12"/>
    </row>
    <row r="161" spans="1:20" customFormat="1" x14ac:dyDescent="0.35">
      <c r="A161" s="2" t="s">
        <v>468</v>
      </c>
      <c r="B161" s="2"/>
      <c r="C161" s="3"/>
      <c r="D161" s="2" t="s">
        <v>202</v>
      </c>
      <c r="E161" s="2" t="s">
        <v>414</v>
      </c>
      <c r="F161" s="36">
        <v>3</v>
      </c>
      <c r="G161" s="36"/>
      <c r="H161" s="36"/>
      <c r="I161" s="36">
        <v>1</v>
      </c>
      <c r="J161" s="36">
        <v>0</v>
      </c>
      <c r="K161" s="36">
        <v>0</v>
      </c>
      <c r="L161" s="37">
        <f t="shared" si="6"/>
        <v>0.05</v>
      </c>
      <c r="M161" s="36">
        <f t="shared" si="7"/>
        <v>0</v>
      </c>
      <c r="N161" s="38">
        <f t="shared" si="8"/>
        <v>0</v>
      </c>
      <c r="O161" s="36">
        <v>824</v>
      </c>
      <c r="P161" s="44">
        <v>4.2647337962962961</v>
      </c>
      <c r="Q161" s="61">
        <v>0</v>
      </c>
      <c r="R161" s="61">
        <v>0</v>
      </c>
      <c r="S161" s="61">
        <v>2</v>
      </c>
      <c r="T161" s="12"/>
    </row>
    <row r="162" spans="1:20" customFormat="1" x14ac:dyDescent="0.35">
      <c r="A162" s="2" t="s">
        <v>468</v>
      </c>
      <c r="B162" s="2"/>
      <c r="C162" s="3"/>
      <c r="D162" s="2" t="s">
        <v>203</v>
      </c>
      <c r="E162" s="2" t="s">
        <v>414</v>
      </c>
      <c r="F162" s="36">
        <v>5</v>
      </c>
      <c r="G162" s="36"/>
      <c r="H162" s="36"/>
      <c r="I162" s="36">
        <v>4</v>
      </c>
      <c r="J162" s="36">
        <v>0</v>
      </c>
      <c r="K162" s="36">
        <v>2</v>
      </c>
      <c r="L162" s="37">
        <f t="shared" si="6"/>
        <v>0.2</v>
      </c>
      <c r="M162" s="36">
        <f t="shared" si="7"/>
        <v>2</v>
      </c>
      <c r="N162" s="38">
        <f t="shared" si="8"/>
        <v>2</v>
      </c>
      <c r="O162" s="36">
        <v>95</v>
      </c>
      <c r="P162" s="44">
        <v>3.4173958333333334</v>
      </c>
      <c r="Q162" s="61">
        <v>0</v>
      </c>
      <c r="R162" s="61">
        <v>0</v>
      </c>
      <c r="S162" s="61">
        <v>0</v>
      </c>
      <c r="T162" s="12"/>
    </row>
    <row r="163" spans="1:20" customFormat="1" x14ac:dyDescent="0.35">
      <c r="A163" s="2" t="s">
        <v>468</v>
      </c>
      <c r="B163" s="2"/>
      <c r="C163" s="3"/>
      <c r="D163" s="2" t="s">
        <v>204</v>
      </c>
      <c r="E163" s="2" t="s">
        <v>414</v>
      </c>
      <c r="F163" s="36">
        <v>13</v>
      </c>
      <c r="G163" s="36"/>
      <c r="H163" s="36"/>
      <c r="I163" s="36">
        <v>9</v>
      </c>
      <c r="J163" s="36">
        <v>5</v>
      </c>
      <c r="K163" s="36">
        <v>0</v>
      </c>
      <c r="L163" s="37">
        <f t="shared" si="6"/>
        <v>0.45</v>
      </c>
      <c r="M163" s="36">
        <f t="shared" si="7"/>
        <v>0</v>
      </c>
      <c r="N163" s="38">
        <f t="shared" si="8"/>
        <v>0</v>
      </c>
      <c r="O163" s="36">
        <v>444</v>
      </c>
      <c r="P163" s="44">
        <v>4.2718055555555559</v>
      </c>
      <c r="Q163" s="61">
        <v>0</v>
      </c>
      <c r="R163" s="61">
        <v>0</v>
      </c>
      <c r="S163" s="61">
        <v>0</v>
      </c>
      <c r="T163" s="12"/>
    </row>
    <row r="164" spans="1:20" customFormat="1" x14ac:dyDescent="0.35">
      <c r="A164" s="2" t="s">
        <v>468</v>
      </c>
      <c r="B164" s="2"/>
      <c r="C164" s="3"/>
      <c r="D164" s="2" t="s">
        <v>205</v>
      </c>
      <c r="E164" s="2" t="s">
        <v>414</v>
      </c>
      <c r="F164" s="36">
        <v>8</v>
      </c>
      <c r="G164" s="36"/>
      <c r="H164" s="36"/>
      <c r="I164" s="36">
        <v>8</v>
      </c>
      <c r="J164" s="36">
        <v>6</v>
      </c>
      <c r="K164" s="36">
        <v>0</v>
      </c>
      <c r="L164" s="37">
        <f t="shared" si="6"/>
        <v>0.4</v>
      </c>
      <c r="M164" s="36">
        <f t="shared" si="7"/>
        <v>0</v>
      </c>
      <c r="N164" s="38">
        <f t="shared" si="8"/>
        <v>0</v>
      </c>
      <c r="O164" s="36">
        <v>485</v>
      </c>
      <c r="P164" s="44">
        <v>3.0230439814814813</v>
      </c>
      <c r="Q164" s="61">
        <v>0</v>
      </c>
      <c r="R164" s="61">
        <v>1</v>
      </c>
      <c r="S164" s="61">
        <v>0</v>
      </c>
      <c r="T164" s="12"/>
    </row>
    <row r="165" spans="1:20" customFormat="1" x14ac:dyDescent="0.35">
      <c r="A165" s="2" t="s">
        <v>469</v>
      </c>
      <c r="B165" s="2"/>
      <c r="C165" s="3"/>
      <c r="D165" s="2" t="s">
        <v>206</v>
      </c>
      <c r="E165" s="2" t="s">
        <v>414</v>
      </c>
      <c r="F165" s="36">
        <v>10</v>
      </c>
      <c r="G165" s="36"/>
      <c r="H165" s="36"/>
      <c r="I165" s="36">
        <v>7</v>
      </c>
      <c r="J165" s="36">
        <v>0</v>
      </c>
      <c r="K165" s="36">
        <v>1</v>
      </c>
      <c r="L165" s="37">
        <f t="shared" si="6"/>
        <v>0.35</v>
      </c>
      <c r="M165" s="36">
        <f t="shared" si="7"/>
        <v>1</v>
      </c>
      <c r="N165" s="38">
        <f t="shared" si="8"/>
        <v>7</v>
      </c>
      <c r="O165" s="36">
        <v>533</v>
      </c>
      <c r="P165" s="44">
        <v>5.2028125000000012</v>
      </c>
      <c r="Q165" s="61">
        <v>0</v>
      </c>
      <c r="R165" s="61">
        <v>1</v>
      </c>
      <c r="S165" s="61">
        <v>0</v>
      </c>
      <c r="T165" s="12"/>
    </row>
    <row r="166" spans="1:20" customFormat="1" x14ac:dyDescent="0.35">
      <c r="A166" s="2" t="s">
        <v>469</v>
      </c>
      <c r="B166" s="2"/>
      <c r="C166" s="3"/>
      <c r="D166" s="2" t="s">
        <v>207</v>
      </c>
      <c r="E166" s="2" t="s">
        <v>414</v>
      </c>
      <c r="F166" s="36">
        <v>6</v>
      </c>
      <c r="G166" s="36"/>
      <c r="H166" s="36"/>
      <c r="I166" s="36">
        <v>3</v>
      </c>
      <c r="J166" s="36">
        <v>0</v>
      </c>
      <c r="K166" s="36">
        <v>1</v>
      </c>
      <c r="L166" s="37">
        <f t="shared" si="6"/>
        <v>0.15</v>
      </c>
      <c r="M166" s="36">
        <f t="shared" si="7"/>
        <v>1</v>
      </c>
      <c r="N166" s="38">
        <f t="shared" si="8"/>
        <v>3</v>
      </c>
      <c r="O166" s="36">
        <v>681</v>
      </c>
      <c r="P166" s="44">
        <v>3.7896759259259261</v>
      </c>
      <c r="Q166" s="61">
        <v>0</v>
      </c>
      <c r="R166" s="61">
        <v>0</v>
      </c>
      <c r="S166" s="61">
        <v>1</v>
      </c>
      <c r="T166" s="12"/>
    </row>
    <row r="167" spans="1:20" customFormat="1" x14ac:dyDescent="0.35">
      <c r="A167" s="2" t="s">
        <v>469</v>
      </c>
      <c r="B167" s="2"/>
      <c r="C167" s="3"/>
      <c r="D167" s="2" t="s">
        <v>208</v>
      </c>
      <c r="E167" s="2" t="s">
        <v>414</v>
      </c>
      <c r="F167" s="36">
        <v>8</v>
      </c>
      <c r="G167" s="36"/>
      <c r="H167" s="36"/>
      <c r="I167" s="36">
        <v>3</v>
      </c>
      <c r="J167" s="36">
        <v>0</v>
      </c>
      <c r="K167" s="36">
        <v>0</v>
      </c>
      <c r="L167" s="37">
        <f t="shared" si="6"/>
        <v>0.15</v>
      </c>
      <c r="M167" s="36">
        <f t="shared" si="7"/>
        <v>0</v>
      </c>
      <c r="N167" s="38">
        <f t="shared" si="8"/>
        <v>0</v>
      </c>
      <c r="O167" s="36">
        <v>833</v>
      </c>
      <c r="P167" s="44">
        <v>4.974606481481481</v>
      </c>
      <c r="Q167" s="61">
        <v>0</v>
      </c>
      <c r="R167" s="61">
        <v>0</v>
      </c>
      <c r="S167" s="61">
        <v>0</v>
      </c>
      <c r="T167" s="12"/>
    </row>
    <row r="168" spans="1:20" customFormat="1" x14ac:dyDescent="0.35">
      <c r="A168" s="2" t="s">
        <v>469</v>
      </c>
      <c r="B168" s="2"/>
      <c r="C168" s="3"/>
      <c r="D168" s="2" t="s">
        <v>209</v>
      </c>
      <c r="E168" s="2" t="s">
        <v>414</v>
      </c>
      <c r="F168" s="36">
        <v>0</v>
      </c>
      <c r="G168" s="36"/>
      <c r="H168" s="36"/>
      <c r="I168" s="36">
        <v>0</v>
      </c>
      <c r="J168" s="36">
        <v>0</v>
      </c>
      <c r="K168" s="36">
        <v>0</v>
      </c>
      <c r="L168" s="37">
        <f t="shared" si="6"/>
        <v>0</v>
      </c>
      <c r="M168" s="36">
        <f t="shared" si="7"/>
        <v>0</v>
      </c>
      <c r="N168" s="38">
        <f t="shared" si="8"/>
        <v>0</v>
      </c>
      <c r="O168" s="36">
        <v>0</v>
      </c>
      <c r="P168" s="44">
        <v>1.0300925925925926E-3</v>
      </c>
      <c r="Q168" s="61">
        <v>0</v>
      </c>
      <c r="R168" s="61">
        <v>1</v>
      </c>
      <c r="S168" s="61">
        <v>0</v>
      </c>
      <c r="T168" s="12"/>
    </row>
    <row r="169" spans="1:20" customFormat="1" x14ac:dyDescent="0.35">
      <c r="A169" s="2" t="s">
        <v>470</v>
      </c>
      <c r="B169" s="2"/>
      <c r="C169" s="3"/>
      <c r="D169" s="2" t="s">
        <v>210</v>
      </c>
      <c r="E169" s="2" t="s">
        <v>415</v>
      </c>
      <c r="F169" s="36">
        <v>8</v>
      </c>
      <c r="G169" s="36"/>
      <c r="H169" s="36"/>
      <c r="I169" s="36">
        <v>2</v>
      </c>
      <c r="J169" s="36">
        <v>1</v>
      </c>
      <c r="K169" s="36">
        <v>1</v>
      </c>
      <c r="L169" s="37">
        <f t="shared" si="6"/>
        <v>0.1</v>
      </c>
      <c r="M169" s="36">
        <f t="shared" si="7"/>
        <v>1</v>
      </c>
      <c r="N169" s="38">
        <f t="shared" si="8"/>
        <v>2</v>
      </c>
      <c r="O169" s="36">
        <v>422</v>
      </c>
      <c r="P169" s="44">
        <v>4.2877893518518517</v>
      </c>
      <c r="Q169" s="61">
        <v>0</v>
      </c>
      <c r="R169" s="61">
        <v>0</v>
      </c>
      <c r="S169" s="61">
        <v>1</v>
      </c>
      <c r="T169" s="12"/>
    </row>
    <row r="170" spans="1:20" customFormat="1" x14ac:dyDescent="0.35">
      <c r="A170" s="2" t="s">
        <v>470</v>
      </c>
      <c r="B170" s="2"/>
      <c r="C170" s="3"/>
      <c r="D170" s="2" t="s">
        <v>211</v>
      </c>
      <c r="E170" s="2" t="s">
        <v>415</v>
      </c>
      <c r="F170" s="36">
        <v>5</v>
      </c>
      <c r="G170" s="36"/>
      <c r="H170" s="36"/>
      <c r="I170" s="36">
        <v>1</v>
      </c>
      <c r="J170" s="36">
        <v>1</v>
      </c>
      <c r="K170" s="36">
        <v>0</v>
      </c>
      <c r="L170" s="37">
        <f t="shared" si="6"/>
        <v>0.05</v>
      </c>
      <c r="M170" s="36">
        <f t="shared" si="7"/>
        <v>0</v>
      </c>
      <c r="N170" s="38">
        <f t="shared" si="8"/>
        <v>0</v>
      </c>
      <c r="O170" s="36">
        <v>328</v>
      </c>
      <c r="P170" s="44">
        <v>5.0789467592592592</v>
      </c>
      <c r="Q170" s="61">
        <v>0</v>
      </c>
      <c r="R170" s="61">
        <v>1</v>
      </c>
      <c r="S170" s="61">
        <v>0</v>
      </c>
      <c r="T170" s="12"/>
    </row>
    <row r="171" spans="1:20" customFormat="1" x14ac:dyDescent="0.35">
      <c r="A171" s="2" t="s">
        <v>470</v>
      </c>
      <c r="B171" s="2"/>
      <c r="C171" s="3"/>
      <c r="D171" s="2" t="s">
        <v>212</v>
      </c>
      <c r="E171" s="2" t="s">
        <v>415</v>
      </c>
      <c r="F171" s="36">
        <v>6</v>
      </c>
      <c r="G171" s="36"/>
      <c r="H171" s="36"/>
      <c r="I171" s="36">
        <v>3</v>
      </c>
      <c r="J171" s="36">
        <v>1</v>
      </c>
      <c r="K171" s="36">
        <v>0</v>
      </c>
      <c r="L171" s="37">
        <f t="shared" si="6"/>
        <v>0.15</v>
      </c>
      <c r="M171" s="36">
        <f t="shared" si="7"/>
        <v>0</v>
      </c>
      <c r="N171" s="38">
        <f t="shared" si="8"/>
        <v>0</v>
      </c>
      <c r="O171" s="36">
        <v>202</v>
      </c>
      <c r="P171" s="44">
        <v>4.0501273148148149</v>
      </c>
      <c r="Q171" s="61">
        <v>0</v>
      </c>
      <c r="R171" s="61">
        <v>0</v>
      </c>
      <c r="S171" s="61">
        <v>0</v>
      </c>
      <c r="T171" s="12"/>
    </row>
    <row r="172" spans="1:20" customFormat="1" x14ac:dyDescent="0.35">
      <c r="A172" s="2" t="s">
        <v>470</v>
      </c>
      <c r="B172" s="2"/>
      <c r="C172" s="3"/>
      <c r="D172" s="2" t="s">
        <v>213</v>
      </c>
      <c r="E172" s="2" t="s">
        <v>415</v>
      </c>
      <c r="F172" s="36">
        <v>0</v>
      </c>
      <c r="G172" s="36"/>
      <c r="H172" s="36"/>
      <c r="I172" s="36">
        <v>0</v>
      </c>
      <c r="J172" s="36">
        <v>0</v>
      </c>
      <c r="K172" s="36">
        <v>0</v>
      </c>
      <c r="L172" s="37">
        <f t="shared" si="6"/>
        <v>0</v>
      </c>
      <c r="M172" s="36">
        <f t="shared" si="7"/>
        <v>0</v>
      </c>
      <c r="N172" s="38">
        <f t="shared" si="8"/>
        <v>0</v>
      </c>
      <c r="O172" s="36">
        <v>1</v>
      </c>
      <c r="P172" s="44">
        <v>0.93103009259259273</v>
      </c>
      <c r="Q172" s="61">
        <v>0</v>
      </c>
      <c r="R172" s="61">
        <v>0</v>
      </c>
      <c r="S172" s="61">
        <v>0</v>
      </c>
      <c r="T172" s="12"/>
    </row>
    <row r="173" spans="1:20" customFormat="1" x14ac:dyDescent="0.35">
      <c r="A173" s="2" t="s">
        <v>471</v>
      </c>
      <c r="B173" s="2"/>
      <c r="C173" s="3"/>
      <c r="D173" s="2" t="s">
        <v>214</v>
      </c>
      <c r="E173" s="2" t="s">
        <v>415</v>
      </c>
      <c r="F173" s="36">
        <v>7</v>
      </c>
      <c r="G173" s="36"/>
      <c r="H173" s="36"/>
      <c r="I173" s="36">
        <v>4</v>
      </c>
      <c r="J173" s="36">
        <v>0</v>
      </c>
      <c r="K173" s="36">
        <v>0</v>
      </c>
      <c r="L173" s="37">
        <f t="shared" si="6"/>
        <v>0.2</v>
      </c>
      <c r="M173" s="36">
        <f t="shared" si="7"/>
        <v>0</v>
      </c>
      <c r="N173" s="38">
        <f t="shared" si="8"/>
        <v>0</v>
      </c>
      <c r="O173" s="36">
        <v>344</v>
      </c>
      <c r="P173" s="44">
        <v>4.5068055555555553</v>
      </c>
      <c r="Q173" s="61">
        <v>1</v>
      </c>
      <c r="R173" s="61">
        <v>0</v>
      </c>
      <c r="S173" s="61">
        <v>0</v>
      </c>
      <c r="T173" s="12"/>
    </row>
    <row r="174" spans="1:20" customFormat="1" x14ac:dyDescent="0.35">
      <c r="A174" s="2" t="s">
        <v>471</v>
      </c>
      <c r="B174" s="2"/>
      <c r="C174" s="3"/>
      <c r="D174" s="2" t="s">
        <v>215</v>
      </c>
      <c r="E174" s="2" t="s">
        <v>415</v>
      </c>
      <c r="F174" s="36">
        <v>0</v>
      </c>
      <c r="G174" s="36"/>
      <c r="H174" s="36"/>
      <c r="I174" s="36">
        <v>0</v>
      </c>
      <c r="J174" s="36">
        <v>0</v>
      </c>
      <c r="K174" s="36">
        <v>0</v>
      </c>
      <c r="L174" s="37">
        <f t="shared" si="6"/>
        <v>0</v>
      </c>
      <c r="M174" s="36">
        <f t="shared" si="7"/>
        <v>0</v>
      </c>
      <c r="N174" s="38">
        <f t="shared" si="8"/>
        <v>0</v>
      </c>
      <c r="O174" s="36">
        <v>0</v>
      </c>
      <c r="P174" s="44">
        <v>2.1896064814814817</v>
      </c>
      <c r="Q174" s="61">
        <v>0</v>
      </c>
      <c r="R174" s="61">
        <v>0</v>
      </c>
      <c r="S174" s="61">
        <v>0</v>
      </c>
      <c r="T174" s="12"/>
    </row>
    <row r="175" spans="1:20" customFormat="1" x14ac:dyDescent="0.35">
      <c r="A175" s="2" t="s">
        <v>471</v>
      </c>
      <c r="B175" s="2"/>
      <c r="C175" s="3"/>
      <c r="D175" s="2" t="s">
        <v>216</v>
      </c>
      <c r="E175" s="2" t="s">
        <v>415</v>
      </c>
      <c r="F175" s="36">
        <v>3</v>
      </c>
      <c r="G175" s="36"/>
      <c r="H175" s="36"/>
      <c r="I175" s="36">
        <v>0</v>
      </c>
      <c r="J175" s="36">
        <v>0</v>
      </c>
      <c r="K175" s="36">
        <v>0</v>
      </c>
      <c r="L175" s="37">
        <f t="shared" si="6"/>
        <v>0</v>
      </c>
      <c r="M175" s="36">
        <f t="shared" si="7"/>
        <v>0</v>
      </c>
      <c r="N175" s="38">
        <f t="shared" si="8"/>
        <v>0</v>
      </c>
      <c r="O175" s="36">
        <v>402</v>
      </c>
      <c r="P175" s="44">
        <v>4.7200115740740731</v>
      </c>
      <c r="Q175" s="61">
        <v>0</v>
      </c>
      <c r="R175" s="61">
        <v>0</v>
      </c>
      <c r="S175" s="61">
        <v>0</v>
      </c>
      <c r="T175" s="12"/>
    </row>
    <row r="176" spans="1:20" customFormat="1" x14ac:dyDescent="0.35">
      <c r="A176" s="2" t="s">
        <v>471</v>
      </c>
      <c r="B176" s="2"/>
      <c r="C176" s="3"/>
      <c r="D176" s="2" t="s">
        <v>217</v>
      </c>
      <c r="E176" s="2" t="s">
        <v>415</v>
      </c>
      <c r="F176" s="36">
        <v>6</v>
      </c>
      <c r="G176" s="36"/>
      <c r="H176" s="36"/>
      <c r="I176" s="36">
        <v>1</v>
      </c>
      <c r="J176" s="36">
        <v>1</v>
      </c>
      <c r="K176" s="36">
        <v>0</v>
      </c>
      <c r="L176" s="37">
        <f t="shared" si="6"/>
        <v>0.05</v>
      </c>
      <c r="M176" s="36">
        <f t="shared" si="7"/>
        <v>0</v>
      </c>
      <c r="N176" s="38">
        <f t="shared" si="8"/>
        <v>0</v>
      </c>
      <c r="O176" s="36">
        <v>627</v>
      </c>
      <c r="P176" s="44">
        <v>5.3615046296296294</v>
      </c>
      <c r="Q176" s="61">
        <v>0</v>
      </c>
      <c r="R176" s="61">
        <v>0</v>
      </c>
      <c r="S176" s="61">
        <v>0</v>
      </c>
      <c r="T176" s="12"/>
    </row>
    <row r="177" spans="1:20" customFormat="1" x14ac:dyDescent="0.35">
      <c r="A177" s="2" t="s">
        <v>471</v>
      </c>
      <c r="B177" s="2"/>
      <c r="C177" s="3"/>
      <c r="D177" s="2" t="s">
        <v>218</v>
      </c>
      <c r="E177" s="2" t="s">
        <v>415</v>
      </c>
      <c r="F177" s="36">
        <v>5</v>
      </c>
      <c r="G177" s="36"/>
      <c r="H177" s="36"/>
      <c r="I177" s="36">
        <v>2</v>
      </c>
      <c r="J177" s="36">
        <v>0</v>
      </c>
      <c r="K177" s="36">
        <v>0</v>
      </c>
      <c r="L177" s="37">
        <f t="shared" si="6"/>
        <v>0.1</v>
      </c>
      <c r="M177" s="36">
        <f t="shared" si="7"/>
        <v>0</v>
      </c>
      <c r="N177" s="38">
        <f t="shared" si="8"/>
        <v>0</v>
      </c>
      <c r="O177" s="36">
        <v>369</v>
      </c>
      <c r="P177" s="44">
        <v>4.6173958333333331</v>
      </c>
      <c r="Q177" s="61">
        <v>1</v>
      </c>
      <c r="R177" s="61">
        <v>0</v>
      </c>
      <c r="S177" s="61">
        <v>0</v>
      </c>
      <c r="T177" s="12"/>
    </row>
    <row r="178" spans="1:20" customFormat="1" x14ac:dyDescent="0.35">
      <c r="A178" s="2" t="s">
        <v>472</v>
      </c>
      <c r="B178" s="2"/>
      <c r="C178" s="3"/>
      <c r="D178" s="2" t="s">
        <v>219</v>
      </c>
      <c r="E178" s="2" t="s">
        <v>416</v>
      </c>
      <c r="F178" s="36">
        <v>0</v>
      </c>
      <c r="G178" s="36"/>
      <c r="H178" s="36"/>
      <c r="I178" s="36">
        <v>0</v>
      </c>
      <c r="J178" s="36">
        <v>0</v>
      </c>
      <c r="K178" s="36">
        <v>0</v>
      </c>
      <c r="L178" s="37">
        <f t="shared" si="6"/>
        <v>0</v>
      </c>
      <c r="M178" s="36">
        <f t="shared" si="7"/>
        <v>0</v>
      </c>
      <c r="N178" s="38">
        <f t="shared" si="8"/>
        <v>0</v>
      </c>
      <c r="O178" s="36">
        <v>486</v>
      </c>
      <c r="P178" s="44">
        <v>3.8438310185185181</v>
      </c>
      <c r="Q178" s="61">
        <v>0</v>
      </c>
      <c r="R178" s="61">
        <v>0</v>
      </c>
      <c r="S178" s="61">
        <v>0</v>
      </c>
      <c r="T178" s="12"/>
    </row>
    <row r="179" spans="1:20" customFormat="1" x14ac:dyDescent="0.35">
      <c r="A179" s="2" t="s">
        <v>472</v>
      </c>
      <c r="B179" s="2"/>
      <c r="C179" s="3"/>
      <c r="D179" s="2" t="s">
        <v>220</v>
      </c>
      <c r="E179" s="2" t="s">
        <v>416</v>
      </c>
      <c r="F179" s="36">
        <v>13</v>
      </c>
      <c r="G179" s="36"/>
      <c r="H179" s="36"/>
      <c r="I179" s="36">
        <v>1</v>
      </c>
      <c r="J179" s="36">
        <v>0</v>
      </c>
      <c r="K179" s="36">
        <v>1</v>
      </c>
      <c r="L179" s="37">
        <f t="shared" si="6"/>
        <v>0.05</v>
      </c>
      <c r="M179" s="36">
        <f t="shared" si="7"/>
        <v>1</v>
      </c>
      <c r="N179" s="38">
        <f t="shared" si="8"/>
        <v>1</v>
      </c>
      <c r="O179" s="36">
        <v>744</v>
      </c>
      <c r="P179" s="44">
        <v>4.7341203703703698</v>
      </c>
      <c r="Q179" s="61">
        <v>0</v>
      </c>
      <c r="R179" s="61">
        <v>0</v>
      </c>
      <c r="S179" s="61">
        <v>4</v>
      </c>
      <c r="T179" s="12"/>
    </row>
    <row r="180" spans="1:20" customFormat="1" x14ac:dyDescent="0.35">
      <c r="A180" s="2" t="s">
        <v>472</v>
      </c>
      <c r="B180" s="2"/>
      <c r="C180" s="3"/>
      <c r="D180" s="2" t="s">
        <v>221</v>
      </c>
      <c r="E180" s="2" t="s">
        <v>416</v>
      </c>
      <c r="F180" s="36">
        <v>13</v>
      </c>
      <c r="G180" s="36"/>
      <c r="H180" s="36"/>
      <c r="I180" s="36">
        <v>13</v>
      </c>
      <c r="J180" s="36">
        <v>2</v>
      </c>
      <c r="K180" s="36">
        <v>1</v>
      </c>
      <c r="L180" s="37">
        <f t="shared" si="6"/>
        <v>0.65</v>
      </c>
      <c r="M180" s="36">
        <f t="shared" si="7"/>
        <v>1</v>
      </c>
      <c r="N180" s="38">
        <f t="shared" si="8"/>
        <v>13</v>
      </c>
      <c r="O180" s="36">
        <v>758</v>
      </c>
      <c r="P180" s="44">
        <v>4.7495370370370367</v>
      </c>
      <c r="Q180" s="61">
        <v>2</v>
      </c>
      <c r="R180" s="61">
        <v>3</v>
      </c>
      <c r="S180" s="61">
        <v>1</v>
      </c>
      <c r="T180" s="12"/>
    </row>
    <row r="181" spans="1:20" customFormat="1" x14ac:dyDescent="0.35">
      <c r="A181" s="2" t="s">
        <v>473</v>
      </c>
      <c r="B181" s="2"/>
      <c r="C181" s="3"/>
      <c r="D181" s="2" t="s">
        <v>222</v>
      </c>
      <c r="E181" s="2" t="s">
        <v>416</v>
      </c>
      <c r="F181" s="36">
        <v>12</v>
      </c>
      <c r="G181" s="36"/>
      <c r="H181" s="36"/>
      <c r="I181" s="36">
        <v>10</v>
      </c>
      <c r="J181" s="36">
        <v>2</v>
      </c>
      <c r="K181" s="36">
        <v>1</v>
      </c>
      <c r="L181" s="37">
        <f t="shared" si="6"/>
        <v>0.5</v>
      </c>
      <c r="M181" s="36">
        <f t="shared" si="7"/>
        <v>1</v>
      </c>
      <c r="N181" s="38">
        <f t="shared" si="8"/>
        <v>10</v>
      </c>
      <c r="O181" s="36">
        <v>206</v>
      </c>
      <c r="P181" s="44">
        <v>4.7696412037037028</v>
      </c>
      <c r="Q181" s="61">
        <v>0</v>
      </c>
      <c r="R181" s="61">
        <v>1</v>
      </c>
      <c r="S181" s="61">
        <v>2</v>
      </c>
      <c r="T181" s="12"/>
    </row>
    <row r="182" spans="1:20" customFormat="1" x14ac:dyDescent="0.35">
      <c r="A182" s="2" t="s">
        <v>473</v>
      </c>
      <c r="B182" s="2"/>
      <c r="C182" s="3"/>
      <c r="D182" s="2" t="s">
        <v>223</v>
      </c>
      <c r="E182" s="2" t="s">
        <v>416</v>
      </c>
      <c r="F182" s="36">
        <v>8</v>
      </c>
      <c r="G182" s="36"/>
      <c r="H182" s="36"/>
      <c r="I182" s="36">
        <v>8</v>
      </c>
      <c r="J182" s="36">
        <v>0</v>
      </c>
      <c r="K182" s="36">
        <v>0</v>
      </c>
      <c r="L182" s="37">
        <f t="shared" si="6"/>
        <v>0.4</v>
      </c>
      <c r="M182" s="36">
        <f t="shared" si="7"/>
        <v>0</v>
      </c>
      <c r="N182" s="38">
        <f t="shared" si="8"/>
        <v>0</v>
      </c>
      <c r="O182" s="36">
        <v>371</v>
      </c>
      <c r="P182" s="44">
        <v>4.7922222222222226</v>
      </c>
      <c r="Q182" s="61">
        <v>1</v>
      </c>
      <c r="R182" s="61">
        <v>0</v>
      </c>
      <c r="S182" s="61">
        <v>4</v>
      </c>
      <c r="T182" s="12"/>
    </row>
    <row r="183" spans="1:20" customFormat="1" x14ac:dyDescent="0.35">
      <c r="A183" s="2" t="s">
        <v>473</v>
      </c>
      <c r="B183" s="2"/>
      <c r="C183" s="3"/>
      <c r="D183" s="2" t="s">
        <v>224</v>
      </c>
      <c r="E183" s="2" t="s">
        <v>416</v>
      </c>
      <c r="F183" s="36">
        <v>22</v>
      </c>
      <c r="G183" s="36"/>
      <c r="H183" s="36"/>
      <c r="I183" s="36">
        <v>21</v>
      </c>
      <c r="J183" s="36">
        <v>1</v>
      </c>
      <c r="K183" s="36">
        <v>0</v>
      </c>
      <c r="L183" s="37">
        <f t="shared" si="6"/>
        <v>1.05</v>
      </c>
      <c r="M183" s="36">
        <f t="shared" si="7"/>
        <v>0</v>
      </c>
      <c r="N183" s="38">
        <f t="shared" si="8"/>
        <v>0</v>
      </c>
      <c r="O183" s="36">
        <v>759</v>
      </c>
      <c r="P183" s="44">
        <v>4.5944791666666669</v>
      </c>
      <c r="Q183" s="61">
        <v>1</v>
      </c>
      <c r="R183" s="61">
        <v>0</v>
      </c>
      <c r="S183" s="61">
        <v>3</v>
      </c>
      <c r="T183" s="12"/>
    </row>
    <row r="184" spans="1:20" customFormat="1" x14ac:dyDescent="0.35">
      <c r="A184" s="2" t="s">
        <v>474</v>
      </c>
      <c r="B184" s="2"/>
      <c r="C184" s="3"/>
      <c r="D184" s="2" t="s">
        <v>225</v>
      </c>
      <c r="E184" s="2" t="s">
        <v>416</v>
      </c>
      <c r="F184" s="36">
        <v>18</v>
      </c>
      <c r="G184" s="36"/>
      <c r="H184" s="36"/>
      <c r="I184" s="36">
        <v>12</v>
      </c>
      <c r="J184" s="36">
        <v>3</v>
      </c>
      <c r="K184" s="36">
        <v>3</v>
      </c>
      <c r="L184" s="37">
        <f t="shared" si="6"/>
        <v>0.6</v>
      </c>
      <c r="M184" s="36">
        <f t="shared" si="7"/>
        <v>3</v>
      </c>
      <c r="N184" s="38">
        <f t="shared" si="8"/>
        <v>4</v>
      </c>
      <c r="O184" s="36">
        <v>446</v>
      </c>
      <c r="P184" s="44">
        <v>4.5922222222222215</v>
      </c>
      <c r="Q184" s="61">
        <v>1</v>
      </c>
      <c r="R184" s="61">
        <v>1</v>
      </c>
      <c r="S184" s="61">
        <v>1</v>
      </c>
      <c r="T184" s="12"/>
    </row>
    <row r="185" spans="1:20" customFormat="1" x14ac:dyDescent="0.35">
      <c r="A185" s="2" t="s">
        <v>475</v>
      </c>
      <c r="B185" s="2"/>
      <c r="C185" s="3"/>
      <c r="D185" s="2" t="s">
        <v>226</v>
      </c>
      <c r="E185" s="2" t="s">
        <v>416</v>
      </c>
      <c r="F185" s="36">
        <v>13</v>
      </c>
      <c r="G185" s="36"/>
      <c r="H185" s="36"/>
      <c r="I185" s="36">
        <v>12</v>
      </c>
      <c r="J185" s="36">
        <v>0</v>
      </c>
      <c r="K185" s="36">
        <v>1</v>
      </c>
      <c r="L185" s="37">
        <f t="shared" si="6"/>
        <v>0.6</v>
      </c>
      <c r="M185" s="36">
        <f t="shared" si="7"/>
        <v>1</v>
      </c>
      <c r="N185" s="38">
        <f t="shared" si="8"/>
        <v>12</v>
      </c>
      <c r="O185" s="36">
        <v>532</v>
      </c>
      <c r="P185" s="44">
        <v>4.8026736111111106</v>
      </c>
      <c r="Q185" s="61">
        <v>4</v>
      </c>
      <c r="R185" s="61">
        <v>0</v>
      </c>
      <c r="S185" s="61">
        <v>3</v>
      </c>
      <c r="T185" s="12"/>
    </row>
    <row r="186" spans="1:20" customFormat="1" x14ac:dyDescent="0.35">
      <c r="A186" s="2" t="s">
        <v>476</v>
      </c>
      <c r="B186" s="2"/>
      <c r="C186" s="3"/>
      <c r="D186" s="2" t="s">
        <v>227</v>
      </c>
      <c r="E186" s="2" t="s">
        <v>416</v>
      </c>
      <c r="F186" s="36">
        <v>11</v>
      </c>
      <c r="G186" s="36"/>
      <c r="H186" s="36"/>
      <c r="I186" s="36">
        <v>11</v>
      </c>
      <c r="J186" s="36">
        <v>2</v>
      </c>
      <c r="K186" s="36">
        <v>1</v>
      </c>
      <c r="L186" s="37">
        <f t="shared" si="6"/>
        <v>0.55000000000000004</v>
      </c>
      <c r="M186" s="36">
        <f t="shared" si="7"/>
        <v>1</v>
      </c>
      <c r="N186" s="38">
        <f t="shared" si="8"/>
        <v>11</v>
      </c>
      <c r="O186" s="36">
        <v>507</v>
      </c>
      <c r="P186" s="44">
        <v>4.6270949074074066</v>
      </c>
      <c r="Q186" s="61">
        <v>1</v>
      </c>
      <c r="R186" s="61">
        <v>1</v>
      </c>
      <c r="S186" s="61">
        <v>1</v>
      </c>
      <c r="T186" s="12"/>
    </row>
    <row r="187" spans="1:20" customFormat="1" x14ac:dyDescent="0.35">
      <c r="A187" s="2" t="s">
        <v>476</v>
      </c>
      <c r="B187" s="2"/>
      <c r="C187" s="3"/>
      <c r="D187" s="2" t="s">
        <v>228</v>
      </c>
      <c r="E187" s="2" t="s">
        <v>416</v>
      </c>
      <c r="F187" s="36">
        <v>11</v>
      </c>
      <c r="G187" s="36"/>
      <c r="H187" s="36"/>
      <c r="I187" s="36">
        <v>11</v>
      </c>
      <c r="J187" s="36">
        <v>0</v>
      </c>
      <c r="K187" s="36">
        <v>0</v>
      </c>
      <c r="L187" s="37">
        <f t="shared" si="6"/>
        <v>0.55000000000000004</v>
      </c>
      <c r="M187" s="36">
        <f t="shared" si="7"/>
        <v>0</v>
      </c>
      <c r="N187" s="38">
        <f t="shared" si="8"/>
        <v>0</v>
      </c>
      <c r="O187" s="36">
        <v>364</v>
      </c>
      <c r="P187" s="44">
        <v>5.0737384259259262</v>
      </c>
      <c r="Q187" s="61">
        <v>1</v>
      </c>
      <c r="R187" s="61">
        <v>2</v>
      </c>
      <c r="S187" s="61">
        <v>1</v>
      </c>
      <c r="T187" s="12"/>
    </row>
    <row r="188" spans="1:20" customFormat="1" x14ac:dyDescent="0.35">
      <c r="A188" s="2" t="s">
        <v>476</v>
      </c>
      <c r="B188" s="2"/>
      <c r="C188" s="3"/>
      <c r="D188" s="2" t="s">
        <v>229</v>
      </c>
      <c r="E188" s="2" t="s">
        <v>416</v>
      </c>
      <c r="F188" s="36">
        <v>15</v>
      </c>
      <c r="G188" s="36"/>
      <c r="H188" s="36"/>
      <c r="I188" s="36">
        <v>14</v>
      </c>
      <c r="J188" s="36">
        <v>0</v>
      </c>
      <c r="K188" s="36">
        <v>1</v>
      </c>
      <c r="L188" s="37">
        <f t="shared" si="6"/>
        <v>0.7</v>
      </c>
      <c r="M188" s="36">
        <f t="shared" si="7"/>
        <v>1</v>
      </c>
      <c r="N188" s="38">
        <f t="shared" si="8"/>
        <v>14</v>
      </c>
      <c r="O188" s="36">
        <v>1009</v>
      </c>
      <c r="P188" s="44">
        <v>5.3734259259259254</v>
      </c>
      <c r="Q188" s="61">
        <v>1</v>
      </c>
      <c r="R188" s="61">
        <v>0</v>
      </c>
      <c r="S188" s="61">
        <v>2</v>
      </c>
      <c r="T188" s="12"/>
    </row>
    <row r="189" spans="1:20" customFormat="1" x14ac:dyDescent="0.35">
      <c r="A189" s="2" t="s">
        <v>477</v>
      </c>
      <c r="B189" s="2"/>
      <c r="C189" s="3"/>
      <c r="D189" s="2" t="s">
        <v>230</v>
      </c>
      <c r="E189" s="2" t="s">
        <v>416</v>
      </c>
      <c r="F189" s="36">
        <v>19</v>
      </c>
      <c r="G189" s="36"/>
      <c r="H189" s="36"/>
      <c r="I189" s="36">
        <v>18</v>
      </c>
      <c r="J189" s="36">
        <v>4</v>
      </c>
      <c r="K189" s="36">
        <v>2</v>
      </c>
      <c r="L189" s="37">
        <f t="shared" si="6"/>
        <v>0.9</v>
      </c>
      <c r="M189" s="36">
        <f t="shared" si="7"/>
        <v>2</v>
      </c>
      <c r="N189" s="38">
        <f t="shared" si="8"/>
        <v>9</v>
      </c>
      <c r="O189" s="36">
        <v>378</v>
      </c>
      <c r="P189" s="44">
        <v>5.308599537037038</v>
      </c>
      <c r="Q189" s="61">
        <v>0</v>
      </c>
      <c r="R189" s="61">
        <v>0</v>
      </c>
      <c r="S189" s="61">
        <v>2</v>
      </c>
      <c r="T189" s="12"/>
    </row>
    <row r="190" spans="1:20" customFormat="1" x14ac:dyDescent="0.35">
      <c r="A190" s="2" t="s">
        <v>477</v>
      </c>
      <c r="B190" s="2"/>
      <c r="C190" s="3"/>
      <c r="D190" s="2" t="s">
        <v>231</v>
      </c>
      <c r="E190" s="2" t="s">
        <v>416</v>
      </c>
      <c r="F190" s="36">
        <v>9</v>
      </c>
      <c r="G190" s="36"/>
      <c r="H190" s="36"/>
      <c r="I190" s="36">
        <v>9</v>
      </c>
      <c r="J190" s="36">
        <v>1</v>
      </c>
      <c r="K190" s="36">
        <v>4</v>
      </c>
      <c r="L190" s="37">
        <f t="shared" si="6"/>
        <v>0.45</v>
      </c>
      <c r="M190" s="36">
        <f t="shared" si="7"/>
        <v>4</v>
      </c>
      <c r="N190" s="38">
        <f t="shared" si="8"/>
        <v>2.25</v>
      </c>
      <c r="O190" s="36">
        <v>318</v>
      </c>
      <c r="P190" s="44">
        <v>5.2393171296296304</v>
      </c>
      <c r="Q190" s="61">
        <v>0</v>
      </c>
      <c r="R190" s="61">
        <v>1</v>
      </c>
      <c r="S190" s="61">
        <v>4</v>
      </c>
      <c r="T190" s="12"/>
    </row>
    <row r="191" spans="1:20" customFormat="1" x14ac:dyDescent="0.35">
      <c r="A191" s="2" t="s">
        <v>478</v>
      </c>
      <c r="B191" s="2"/>
      <c r="C191" s="3"/>
      <c r="D191" s="2" t="s">
        <v>232</v>
      </c>
      <c r="E191" s="2" t="s">
        <v>416</v>
      </c>
      <c r="F191" s="36">
        <v>19</v>
      </c>
      <c r="G191" s="36"/>
      <c r="H191" s="36"/>
      <c r="I191" s="36">
        <v>9</v>
      </c>
      <c r="J191" s="36">
        <v>0</v>
      </c>
      <c r="K191" s="36">
        <v>1</v>
      </c>
      <c r="L191" s="37">
        <f t="shared" si="6"/>
        <v>0.45</v>
      </c>
      <c r="M191" s="36">
        <f t="shared" si="7"/>
        <v>1</v>
      </c>
      <c r="N191" s="38">
        <f t="shared" si="8"/>
        <v>9</v>
      </c>
      <c r="O191" s="36">
        <v>544</v>
      </c>
      <c r="P191" s="44">
        <v>4.9802777777777782</v>
      </c>
      <c r="Q191" s="61">
        <v>0</v>
      </c>
      <c r="R191" s="61">
        <v>1</v>
      </c>
      <c r="S191" s="61">
        <v>1</v>
      </c>
      <c r="T191" s="12"/>
    </row>
    <row r="192" spans="1:20" customFormat="1" x14ac:dyDescent="0.35">
      <c r="A192" s="2" t="s">
        <v>479</v>
      </c>
      <c r="B192" s="2"/>
      <c r="C192" s="3"/>
      <c r="D192" s="2" t="s">
        <v>233</v>
      </c>
      <c r="E192" s="2" t="s">
        <v>416</v>
      </c>
      <c r="F192" s="36">
        <v>9</v>
      </c>
      <c r="G192" s="36"/>
      <c r="H192" s="36"/>
      <c r="I192" s="36">
        <v>5</v>
      </c>
      <c r="J192" s="36">
        <v>1</v>
      </c>
      <c r="K192" s="36">
        <v>0</v>
      </c>
      <c r="L192" s="37">
        <f t="shared" si="6"/>
        <v>0.25</v>
      </c>
      <c r="M192" s="36">
        <f t="shared" si="7"/>
        <v>0</v>
      </c>
      <c r="N192" s="38">
        <f t="shared" si="8"/>
        <v>0</v>
      </c>
      <c r="O192" s="36">
        <v>145</v>
      </c>
      <c r="P192" s="44">
        <v>4.0266782407407407</v>
      </c>
      <c r="Q192" s="61">
        <v>2</v>
      </c>
      <c r="R192" s="61">
        <v>1</v>
      </c>
      <c r="S192" s="61">
        <v>2</v>
      </c>
      <c r="T192" s="12"/>
    </row>
    <row r="193" spans="1:20" customFormat="1" x14ac:dyDescent="0.35">
      <c r="A193" s="2" t="s">
        <v>479</v>
      </c>
      <c r="B193" s="2"/>
      <c r="C193" s="3"/>
      <c r="D193" s="2" t="s">
        <v>234</v>
      </c>
      <c r="E193" s="2" t="s">
        <v>416</v>
      </c>
      <c r="F193" s="36">
        <v>14</v>
      </c>
      <c r="G193" s="36"/>
      <c r="H193" s="36"/>
      <c r="I193" s="36">
        <v>6</v>
      </c>
      <c r="J193" s="36">
        <v>0</v>
      </c>
      <c r="K193" s="36">
        <v>6</v>
      </c>
      <c r="L193" s="37">
        <f t="shared" si="6"/>
        <v>0.3</v>
      </c>
      <c r="M193" s="36">
        <f t="shared" si="7"/>
        <v>6</v>
      </c>
      <c r="N193" s="38">
        <f t="shared" si="8"/>
        <v>1</v>
      </c>
      <c r="O193" s="36">
        <v>978</v>
      </c>
      <c r="P193" s="44">
        <v>4.6031712962962956</v>
      </c>
      <c r="Q193" s="61">
        <v>0</v>
      </c>
      <c r="R193" s="61">
        <v>1</v>
      </c>
      <c r="S193" s="61">
        <v>0</v>
      </c>
      <c r="T193" s="12"/>
    </row>
    <row r="194" spans="1:20" customFormat="1" x14ac:dyDescent="0.35">
      <c r="A194" s="2" t="s">
        <v>479</v>
      </c>
      <c r="B194" s="2"/>
      <c r="C194" s="3"/>
      <c r="D194" s="2" t="s">
        <v>235</v>
      </c>
      <c r="E194" s="2" t="s">
        <v>416</v>
      </c>
      <c r="F194" s="36">
        <v>24</v>
      </c>
      <c r="G194" s="36"/>
      <c r="H194" s="36"/>
      <c r="I194" s="36">
        <v>11</v>
      </c>
      <c r="J194" s="36">
        <v>3</v>
      </c>
      <c r="K194" s="36">
        <v>1</v>
      </c>
      <c r="L194" s="37">
        <f t="shared" si="6"/>
        <v>0.55000000000000004</v>
      </c>
      <c r="M194" s="36">
        <f t="shared" si="7"/>
        <v>1</v>
      </c>
      <c r="N194" s="38">
        <f t="shared" si="8"/>
        <v>11</v>
      </c>
      <c r="O194" s="36">
        <v>623</v>
      </c>
      <c r="P194" s="44">
        <v>5.0783101851851846</v>
      </c>
      <c r="Q194" s="61">
        <v>1</v>
      </c>
      <c r="R194" s="61">
        <v>1</v>
      </c>
      <c r="S194" s="61">
        <v>1</v>
      </c>
      <c r="T194" s="12"/>
    </row>
    <row r="195" spans="1:20" customFormat="1" x14ac:dyDescent="0.35">
      <c r="A195" s="2" t="s">
        <v>480</v>
      </c>
      <c r="B195" s="2"/>
      <c r="C195" s="3"/>
      <c r="D195" s="2" t="s">
        <v>236</v>
      </c>
      <c r="E195" s="2" t="s">
        <v>416</v>
      </c>
      <c r="F195" s="36">
        <v>25</v>
      </c>
      <c r="G195" s="36"/>
      <c r="H195" s="36"/>
      <c r="I195" s="36">
        <v>2</v>
      </c>
      <c r="J195" s="36">
        <v>1</v>
      </c>
      <c r="K195" s="36">
        <v>3</v>
      </c>
      <c r="L195" s="37">
        <f t="shared" ref="L195:L258" si="9">I195/20</f>
        <v>0.1</v>
      </c>
      <c r="M195" s="36">
        <f t="shared" ref="M195:M258" si="10">K195</f>
        <v>3</v>
      </c>
      <c r="N195" s="38">
        <f t="shared" ref="N195:N258" si="11">IFERROR(I195/K195,0)</f>
        <v>0.66666666666666663</v>
      </c>
      <c r="O195" s="36">
        <v>148</v>
      </c>
      <c r="P195" s="44">
        <v>5.2048148148148137</v>
      </c>
      <c r="Q195" s="61">
        <v>2</v>
      </c>
      <c r="R195" s="61">
        <v>0</v>
      </c>
      <c r="S195" s="61">
        <v>2</v>
      </c>
      <c r="T195" s="12"/>
    </row>
    <row r="196" spans="1:20" customFormat="1" x14ac:dyDescent="0.35">
      <c r="A196" s="2" t="s">
        <v>480</v>
      </c>
      <c r="B196" s="2"/>
      <c r="C196" s="3"/>
      <c r="D196" s="2" t="s">
        <v>237</v>
      </c>
      <c r="E196" s="2" t="s">
        <v>416</v>
      </c>
      <c r="F196" s="36">
        <v>45</v>
      </c>
      <c r="G196" s="36"/>
      <c r="H196" s="36"/>
      <c r="I196" s="36">
        <v>9</v>
      </c>
      <c r="J196" s="36">
        <v>0</v>
      </c>
      <c r="K196" s="36">
        <v>2</v>
      </c>
      <c r="L196" s="37">
        <f t="shared" si="9"/>
        <v>0.45</v>
      </c>
      <c r="M196" s="36">
        <f t="shared" si="10"/>
        <v>2</v>
      </c>
      <c r="N196" s="38">
        <f t="shared" si="11"/>
        <v>4.5</v>
      </c>
      <c r="O196" s="36">
        <v>679</v>
      </c>
      <c r="P196" s="44">
        <v>5.5272685185185182</v>
      </c>
      <c r="Q196" s="61">
        <v>0</v>
      </c>
      <c r="R196" s="61">
        <v>0</v>
      </c>
      <c r="S196" s="61">
        <v>2</v>
      </c>
      <c r="T196" s="12"/>
    </row>
    <row r="197" spans="1:20" customFormat="1" x14ac:dyDescent="0.35">
      <c r="A197" s="2" t="s">
        <v>481</v>
      </c>
      <c r="B197" s="2"/>
      <c r="C197" s="3"/>
      <c r="D197" s="2" t="s">
        <v>238</v>
      </c>
      <c r="E197" s="2" t="s">
        <v>416</v>
      </c>
      <c r="F197" s="36">
        <v>19</v>
      </c>
      <c r="G197" s="36"/>
      <c r="H197" s="36"/>
      <c r="I197" s="36">
        <v>7</v>
      </c>
      <c r="J197" s="36">
        <v>0</v>
      </c>
      <c r="K197" s="36">
        <v>0</v>
      </c>
      <c r="L197" s="37">
        <f t="shared" si="9"/>
        <v>0.35</v>
      </c>
      <c r="M197" s="36">
        <f t="shared" si="10"/>
        <v>0</v>
      </c>
      <c r="N197" s="38">
        <f t="shared" si="11"/>
        <v>0</v>
      </c>
      <c r="O197" s="36">
        <v>112</v>
      </c>
      <c r="P197" s="44">
        <v>4.5258912037037042</v>
      </c>
      <c r="Q197" s="61">
        <v>0</v>
      </c>
      <c r="R197" s="61">
        <v>0</v>
      </c>
      <c r="S197" s="61">
        <v>1</v>
      </c>
      <c r="T197" s="12"/>
    </row>
    <row r="198" spans="1:20" customFormat="1" x14ac:dyDescent="0.35">
      <c r="A198" s="2" t="s">
        <v>481</v>
      </c>
      <c r="B198" s="2"/>
      <c r="C198" s="3"/>
      <c r="D198" s="2" t="s">
        <v>239</v>
      </c>
      <c r="E198" s="2" t="s">
        <v>416</v>
      </c>
      <c r="F198" s="36">
        <v>17</v>
      </c>
      <c r="G198" s="36"/>
      <c r="H198" s="36"/>
      <c r="I198" s="36">
        <v>8</v>
      </c>
      <c r="J198" s="36">
        <v>2</v>
      </c>
      <c r="K198" s="36">
        <v>3</v>
      </c>
      <c r="L198" s="37">
        <f t="shared" si="9"/>
        <v>0.4</v>
      </c>
      <c r="M198" s="36">
        <f t="shared" si="10"/>
        <v>3</v>
      </c>
      <c r="N198" s="38">
        <f t="shared" si="11"/>
        <v>2.6666666666666665</v>
      </c>
      <c r="O198" s="36">
        <v>1116</v>
      </c>
      <c r="P198" s="44">
        <v>5.3881365740740739</v>
      </c>
      <c r="Q198" s="61">
        <v>0</v>
      </c>
      <c r="R198" s="61">
        <v>1</v>
      </c>
      <c r="S198" s="61">
        <v>4</v>
      </c>
      <c r="T198" s="12"/>
    </row>
    <row r="199" spans="1:20" customFormat="1" x14ac:dyDescent="0.35">
      <c r="A199" s="2" t="s">
        <v>481</v>
      </c>
      <c r="B199" s="2"/>
      <c r="C199" s="3"/>
      <c r="D199" s="2" t="s">
        <v>240</v>
      </c>
      <c r="E199" s="2" t="s">
        <v>416</v>
      </c>
      <c r="F199" s="36">
        <v>39</v>
      </c>
      <c r="G199" s="36"/>
      <c r="H199" s="36"/>
      <c r="I199" s="36">
        <v>18</v>
      </c>
      <c r="J199" s="36">
        <v>0</v>
      </c>
      <c r="K199" s="36">
        <v>3</v>
      </c>
      <c r="L199" s="37">
        <f t="shared" si="9"/>
        <v>0.9</v>
      </c>
      <c r="M199" s="36">
        <f t="shared" si="10"/>
        <v>3</v>
      </c>
      <c r="N199" s="38">
        <f t="shared" si="11"/>
        <v>6</v>
      </c>
      <c r="O199" s="36">
        <v>558</v>
      </c>
      <c r="P199" s="44">
        <v>5.4166666666666679</v>
      </c>
      <c r="Q199" s="61">
        <v>0</v>
      </c>
      <c r="R199" s="61">
        <v>1</v>
      </c>
      <c r="S199" s="61">
        <v>1</v>
      </c>
      <c r="T199" s="12"/>
    </row>
    <row r="200" spans="1:20" customFormat="1" x14ac:dyDescent="0.35">
      <c r="A200" s="2" t="s">
        <v>481</v>
      </c>
      <c r="B200" s="2"/>
      <c r="C200" s="3"/>
      <c r="D200" s="2" t="s">
        <v>241</v>
      </c>
      <c r="E200" s="2" t="s">
        <v>416</v>
      </c>
      <c r="F200" s="36">
        <v>15</v>
      </c>
      <c r="G200" s="36"/>
      <c r="H200" s="36"/>
      <c r="I200" s="36">
        <v>9</v>
      </c>
      <c r="J200" s="36">
        <v>1</v>
      </c>
      <c r="K200" s="36">
        <v>1</v>
      </c>
      <c r="L200" s="37">
        <f t="shared" si="9"/>
        <v>0.45</v>
      </c>
      <c r="M200" s="36">
        <f t="shared" si="10"/>
        <v>1</v>
      </c>
      <c r="N200" s="38">
        <f t="shared" si="11"/>
        <v>9</v>
      </c>
      <c r="O200" s="36">
        <v>842</v>
      </c>
      <c r="P200" s="44">
        <v>5.5104050925925918</v>
      </c>
      <c r="Q200" s="61">
        <v>0</v>
      </c>
      <c r="R200" s="61">
        <v>0</v>
      </c>
      <c r="S200" s="61">
        <v>6</v>
      </c>
      <c r="T200" s="12"/>
    </row>
    <row r="201" spans="1:20" customFormat="1" x14ac:dyDescent="0.35">
      <c r="A201" s="2" t="s">
        <v>478</v>
      </c>
      <c r="B201" s="2"/>
      <c r="C201" s="3"/>
      <c r="D201" s="2" t="s">
        <v>242</v>
      </c>
      <c r="E201" s="2" t="s">
        <v>416</v>
      </c>
      <c r="F201" s="36">
        <v>11</v>
      </c>
      <c r="G201" s="36"/>
      <c r="H201" s="36"/>
      <c r="I201" s="36">
        <v>5</v>
      </c>
      <c r="J201" s="36">
        <v>0</v>
      </c>
      <c r="K201" s="36">
        <v>0</v>
      </c>
      <c r="L201" s="37">
        <f t="shared" si="9"/>
        <v>0.25</v>
      </c>
      <c r="M201" s="36">
        <f t="shared" si="10"/>
        <v>0</v>
      </c>
      <c r="N201" s="38">
        <f t="shared" si="11"/>
        <v>0</v>
      </c>
      <c r="O201" s="36">
        <v>108</v>
      </c>
      <c r="P201" s="44">
        <v>4.7180787037037035</v>
      </c>
      <c r="Q201" s="61">
        <v>0</v>
      </c>
      <c r="R201" s="61">
        <v>1</v>
      </c>
      <c r="S201" s="61">
        <v>1</v>
      </c>
      <c r="T201" s="12"/>
    </row>
    <row r="202" spans="1:20" customFormat="1" x14ac:dyDescent="0.35">
      <c r="A202" s="2" t="s">
        <v>478</v>
      </c>
      <c r="B202" s="2"/>
      <c r="C202" s="3"/>
      <c r="D202" s="2" t="s">
        <v>243</v>
      </c>
      <c r="E202" s="2" t="s">
        <v>416</v>
      </c>
      <c r="F202" s="36">
        <v>28</v>
      </c>
      <c r="G202" s="36"/>
      <c r="H202" s="36"/>
      <c r="I202" s="36">
        <v>19</v>
      </c>
      <c r="J202" s="36">
        <v>0</v>
      </c>
      <c r="K202" s="36">
        <v>1</v>
      </c>
      <c r="L202" s="37">
        <f t="shared" si="9"/>
        <v>0.95</v>
      </c>
      <c r="M202" s="36">
        <f t="shared" si="10"/>
        <v>1</v>
      </c>
      <c r="N202" s="38">
        <f t="shared" si="11"/>
        <v>19</v>
      </c>
      <c r="O202" s="36">
        <v>677</v>
      </c>
      <c r="P202" s="44">
        <v>5.1288194444444439</v>
      </c>
      <c r="Q202" s="61">
        <v>0</v>
      </c>
      <c r="R202" s="61">
        <v>2</v>
      </c>
      <c r="S202" s="61">
        <v>0</v>
      </c>
      <c r="T202" s="12"/>
    </row>
    <row r="203" spans="1:20" customFormat="1" x14ac:dyDescent="0.35">
      <c r="A203" s="2" t="s">
        <v>478</v>
      </c>
      <c r="B203" s="2"/>
      <c r="C203" s="3"/>
      <c r="D203" s="2" t="s">
        <v>244</v>
      </c>
      <c r="E203" s="2" t="s">
        <v>416</v>
      </c>
      <c r="F203" s="36">
        <v>18</v>
      </c>
      <c r="G203" s="36"/>
      <c r="H203" s="36"/>
      <c r="I203" s="36">
        <v>10</v>
      </c>
      <c r="J203" s="36">
        <v>1</v>
      </c>
      <c r="K203" s="36">
        <v>1</v>
      </c>
      <c r="L203" s="37">
        <f t="shared" si="9"/>
        <v>0.5</v>
      </c>
      <c r="M203" s="36">
        <f t="shared" si="10"/>
        <v>1</v>
      </c>
      <c r="N203" s="38">
        <f t="shared" si="11"/>
        <v>10</v>
      </c>
      <c r="O203" s="36">
        <v>821</v>
      </c>
      <c r="P203" s="44">
        <v>5.2476273148148156</v>
      </c>
      <c r="Q203" s="61">
        <v>0</v>
      </c>
      <c r="R203" s="61">
        <v>3</v>
      </c>
      <c r="S203" s="61">
        <v>0</v>
      </c>
      <c r="T203" s="12"/>
    </row>
    <row r="204" spans="1:20" customFormat="1" x14ac:dyDescent="0.35">
      <c r="A204" s="2" t="s">
        <v>482</v>
      </c>
      <c r="B204" s="2"/>
      <c r="C204" s="3"/>
      <c r="D204" s="2" t="s">
        <v>245</v>
      </c>
      <c r="E204" s="2" t="s">
        <v>417</v>
      </c>
      <c r="F204" s="36">
        <v>18</v>
      </c>
      <c r="G204" s="36"/>
      <c r="H204" s="36"/>
      <c r="I204" s="36">
        <v>3</v>
      </c>
      <c r="J204" s="36">
        <v>2</v>
      </c>
      <c r="K204" s="36">
        <v>0</v>
      </c>
      <c r="L204" s="37">
        <f t="shared" si="9"/>
        <v>0.15</v>
      </c>
      <c r="M204" s="36">
        <f t="shared" si="10"/>
        <v>0</v>
      </c>
      <c r="N204" s="38">
        <f t="shared" si="11"/>
        <v>0</v>
      </c>
      <c r="O204" s="36">
        <v>98</v>
      </c>
      <c r="P204" s="44">
        <v>4.0734722222222226</v>
      </c>
      <c r="Q204" s="61">
        <v>0</v>
      </c>
      <c r="R204" s="61">
        <v>0</v>
      </c>
      <c r="S204" s="61">
        <v>1</v>
      </c>
      <c r="T204" s="12"/>
    </row>
    <row r="205" spans="1:20" customFormat="1" x14ac:dyDescent="0.35">
      <c r="A205" s="2" t="s">
        <v>482</v>
      </c>
      <c r="B205" s="2"/>
      <c r="C205" s="3"/>
      <c r="D205" s="2" t="s">
        <v>246</v>
      </c>
      <c r="E205" s="2" t="s">
        <v>417</v>
      </c>
      <c r="F205" s="36">
        <v>14</v>
      </c>
      <c r="G205" s="36"/>
      <c r="H205" s="36"/>
      <c r="I205" s="36">
        <v>7</v>
      </c>
      <c r="J205" s="36">
        <v>1</v>
      </c>
      <c r="K205" s="36">
        <v>0</v>
      </c>
      <c r="L205" s="37">
        <f t="shared" si="9"/>
        <v>0.35</v>
      </c>
      <c r="M205" s="36">
        <f t="shared" si="10"/>
        <v>0</v>
      </c>
      <c r="N205" s="38">
        <f t="shared" si="11"/>
        <v>0</v>
      </c>
      <c r="O205" s="36">
        <v>268</v>
      </c>
      <c r="P205" s="44">
        <v>4.0235532407407408</v>
      </c>
      <c r="Q205" s="61">
        <v>0</v>
      </c>
      <c r="R205" s="61">
        <v>0</v>
      </c>
      <c r="S205" s="61">
        <v>0</v>
      </c>
      <c r="T205" s="12"/>
    </row>
    <row r="206" spans="1:20" customFormat="1" x14ac:dyDescent="0.35">
      <c r="A206" s="2" t="s">
        <v>482</v>
      </c>
      <c r="B206" s="2"/>
      <c r="C206" s="3"/>
      <c r="D206" s="2" t="s">
        <v>247</v>
      </c>
      <c r="E206" s="2" t="s">
        <v>417</v>
      </c>
      <c r="F206" s="36">
        <v>0</v>
      </c>
      <c r="G206" s="36"/>
      <c r="H206" s="36"/>
      <c r="I206" s="36">
        <v>0</v>
      </c>
      <c r="J206" s="36">
        <v>0</v>
      </c>
      <c r="K206" s="36">
        <v>0</v>
      </c>
      <c r="L206" s="37">
        <f t="shared" si="9"/>
        <v>0</v>
      </c>
      <c r="M206" s="36">
        <f t="shared" si="10"/>
        <v>0</v>
      </c>
      <c r="N206" s="38">
        <f t="shared" si="11"/>
        <v>0</v>
      </c>
      <c r="O206" s="36">
        <v>8</v>
      </c>
      <c r="P206" s="44">
        <v>0.35215277777777776</v>
      </c>
      <c r="Q206" s="61">
        <v>0</v>
      </c>
      <c r="R206" s="61">
        <v>0</v>
      </c>
      <c r="S206" s="61">
        <v>0</v>
      </c>
      <c r="T206" s="12"/>
    </row>
    <row r="207" spans="1:20" customFormat="1" x14ac:dyDescent="0.35">
      <c r="A207" s="2" t="s">
        <v>483</v>
      </c>
      <c r="B207" s="2"/>
      <c r="C207" s="3"/>
      <c r="D207" s="2" t="s">
        <v>248</v>
      </c>
      <c r="E207" s="2" t="s">
        <v>417</v>
      </c>
      <c r="F207" s="36">
        <v>18</v>
      </c>
      <c r="G207" s="36"/>
      <c r="H207" s="36"/>
      <c r="I207" s="36">
        <v>10</v>
      </c>
      <c r="J207" s="36">
        <v>0</v>
      </c>
      <c r="K207" s="36">
        <v>1</v>
      </c>
      <c r="L207" s="37">
        <f t="shared" si="9"/>
        <v>0.5</v>
      </c>
      <c r="M207" s="36">
        <f t="shared" si="10"/>
        <v>1</v>
      </c>
      <c r="N207" s="38">
        <f t="shared" si="11"/>
        <v>10</v>
      </c>
      <c r="O207" s="36">
        <v>579</v>
      </c>
      <c r="P207" s="44">
        <v>4.3879976851851863</v>
      </c>
      <c r="Q207" s="61">
        <v>0</v>
      </c>
      <c r="R207" s="61">
        <v>1</v>
      </c>
      <c r="S207" s="61">
        <v>0</v>
      </c>
      <c r="T207" s="12"/>
    </row>
    <row r="208" spans="1:20" customFormat="1" x14ac:dyDescent="0.35">
      <c r="A208" s="2" t="s">
        <v>483</v>
      </c>
      <c r="B208" s="2"/>
      <c r="C208" s="3"/>
      <c r="D208" s="2" t="s">
        <v>249</v>
      </c>
      <c r="E208" s="2" t="s">
        <v>417</v>
      </c>
      <c r="F208" s="36">
        <v>9</v>
      </c>
      <c r="G208" s="36"/>
      <c r="H208" s="36"/>
      <c r="I208" s="36">
        <v>7</v>
      </c>
      <c r="J208" s="36">
        <v>2</v>
      </c>
      <c r="K208" s="36">
        <v>0</v>
      </c>
      <c r="L208" s="37">
        <f t="shared" si="9"/>
        <v>0.35</v>
      </c>
      <c r="M208" s="36">
        <f t="shared" si="10"/>
        <v>0</v>
      </c>
      <c r="N208" s="38">
        <f t="shared" si="11"/>
        <v>0</v>
      </c>
      <c r="O208" s="36">
        <v>65</v>
      </c>
      <c r="P208" s="44">
        <v>4.6095138888888876</v>
      </c>
      <c r="Q208" s="61">
        <v>0</v>
      </c>
      <c r="R208" s="61">
        <v>1</v>
      </c>
      <c r="S208" s="61">
        <v>0</v>
      </c>
      <c r="T208" s="12"/>
    </row>
    <row r="209" spans="1:20" customFormat="1" x14ac:dyDescent="0.35">
      <c r="A209" s="2" t="s">
        <v>483</v>
      </c>
      <c r="B209" s="2"/>
      <c r="C209" s="3"/>
      <c r="D209" s="2" t="s">
        <v>250</v>
      </c>
      <c r="E209" s="2" t="s">
        <v>417</v>
      </c>
      <c r="F209" s="36">
        <v>18</v>
      </c>
      <c r="G209" s="36"/>
      <c r="H209" s="36"/>
      <c r="I209" s="36">
        <v>8</v>
      </c>
      <c r="J209" s="36">
        <v>6</v>
      </c>
      <c r="K209" s="36">
        <v>1</v>
      </c>
      <c r="L209" s="37">
        <f t="shared" si="9"/>
        <v>0.4</v>
      </c>
      <c r="M209" s="36">
        <f t="shared" si="10"/>
        <v>1</v>
      </c>
      <c r="N209" s="38">
        <f t="shared" si="11"/>
        <v>8</v>
      </c>
      <c r="O209" s="36">
        <v>787</v>
      </c>
      <c r="P209" s="44">
        <v>5.4468634259259261</v>
      </c>
      <c r="Q209" s="61">
        <v>0</v>
      </c>
      <c r="R209" s="61">
        <v>0</v>
      </c>
      <c r="S209" s="61">
        <v>0</v>
      </c>
      <c r="T209" s="12"/>
    </row>
    <row r="210" spans="1:20" customFormat="1" x14ac:dyDescent="0.35">
      <c r="A210" s="2" t="s">
        <v>483</v>
      </c>
      <c r="B210" s="2"/>
      <c r="C210" s="3"/>
      <c r="D210" s="2" t="s">
        <v>251</v>
      </c>
      <c r="E210" s="2" t="s">
        <v>417</v>
      </c>
      <c r="F210" s="36">
        <v>0</v>
      </c>
      <c r="G210" s="36"/>
      <c r="H210" s="36"/>
      <c r="I210" s="36">
        <v>0</v>
      </c>
      <c r="J210" s="36">
        <v>0</v>
      </c>
      <c r="K210" s="36">
        <v>1</v>
      </c>
      <c r="L210" s="37">
        <f t="shared" si="9"/>
        <v>0</v>
      </c>
      <c r="M210" s="36">
        <f t="shared" si="10"/>
        <v>1</v>
      </c>
      <c r="N210" s="38">
        <f t="shared" si="11"/>
        <v>0</v>
      </c>
      <c r="O210" s="36">
        <v>3</v>
      </c>
      <c r="P210" s="44">
        <v>1.1183912037037036</v>
      </c>
      <c r="Q210" s="61">
        <v>0</v>
      </c>
      <c r="R210" s="61">
        <v>0</v>
      </c>
      <c r="S210" s="61">
        <v>0</v>
      </c>
      <c r="T210" s="12"/>
    </row>
    <row r="211" spans="1:20" customFormat="1" x14ac:dyDescent="0.35">
      <c r="A211" s="2" t="s">
        <v>483</v>
      </c>
      <c r="B211" s="2"/>
      <c r="C211" s="3"/>
      <c r="D211" s="2" t="s">
        <v>252</v>
      </c>
      <c r="E211" s="2" t="s">
        <v>417</v>
      </c>
      <c r="F211" s="36">
        <v>17</v>
      </c>
      <c r="G211" s="36"/>
      <c r="H211" s="36"/>
      <c r="I211" s="36">
        <v>11</v>
      </c>
      <c r="J211" s="36">
        <v>6</v>
      </c>
      <c r="K211" s="36">
        <v>0</v>
      </c>
      <c r="L211" s="37">
        <f t="shared" si="9"/>
        <v>0.55000000000000004</v>
      </c>
      <c r="M211" s="36">
        <f t="shared" si="10"/>
        <v>0</v>
      </c>
      <c r="N211" s="38">
        <f t="shared" si="11"/>
        <v>0</v>
      </c>
      <c r="O211" s="36">
        <v>676</v>
      </c>
      <c r="P211" s="44">
        <v>5.4920023148148154</v>
      </c>
      <c r="Q211" s="61">
        <v>0</v>
      </c>
      <c r="R211" s="61">
        <v>0</v>
      </c>
      <c r="S211" s="61">
        <v>3</v>
      </c>
      <c r="T211" s="12"/>
    </row>
    <row r="212" spans="1:20" customFormat="1" x14ac:dyDescent="0.35">
      <c r="A212" s="2" t="s">
        <v>483</v>
      </c>
      <c r="B212" s="2"/>
      <c r="C212" s="3"/>
      <c r="D212" s="2" t="s">
        <v>253</v>
      </c>
      <c r="E212" s="2" t="s">
        <v>417</v>
      </c>
      <c r="F212" s="36">
        <v>4</v>
      </c>
      <c r="G212" s="36"/>
      <c r="H212" s="36"/>
      <c r="I212" s="36">
        <v>0</v>
      </c>
      <c r="J212" s="36">
        <v>0</v>
      </c>
      <c r="K212" s="36">
        <v>0</v>
      </c>
      <c r="L212" s="37">
        <f t="shared" si="9"/>
        <v>0</v>
      </c>
      <c r="M212" s="36">
        <f t="shared" si="10"/>
        <v>0</v>
      </c>
      <c r="N212" s="38">
        <f t="shared" si="11"/>
        <v>0</v>
      </c>
      <c r="O212" s="36">
        <v>639</v>
      </c>
      <c r="P212" s="44">
        <v>5.5488194444444439</v>
      </c>
      <c r="Q212" s="61">
        <v>0</v>
      </c>
      <c r="R212" s="61">
        <v>0</v>
      </c>
      <c r="S212" s="61">
        <v>0</v>
      </c>
      <c r="T212" s="12"/>
    </row>
    <row r="213" spans="1:20" customFormat="1" x14ac:dyDescent="0.35">
      <c r="A213" s="2" t="s">
        <v>483</v>
      </c>
      <c r="B213" s="2"/>
      <c r="C213" s="3"/>
      <c r="D213" s="2" t="s">
        <v>254</v>
      </c>
      <c r="E213" s="2" t="s">
        <v>417</v>
      </c>
      <c r="F213" s="36">
        <v>20</v>
      </c>
      <c r="G213" s="36"/>
      <c r="H213" s="36"/>
      <c r="I213" s="36">
        <v>5</v>
      </c>
      <c r="J213" s="36">
        <v>1</v>
      </c>
      <c r="K213" s="36">
        <v>0</v>
      </c>
      <c r="L213" s="37">
        <f t="shared" si="9"/>
        <v>0.25</v>
      </c>
      <c r="M213" s="36">
        <f t="shared" si="10"/>
        <v>0</v>
      </c>
      <c r="N213" s="38">
        <f t="shared" si="11"/>
        <v>0</v>
      </c>
      <c r="O213" s="36">
        <v>813</v>
      </c>
      <c r="P213" s="44">
        <v>5.4645949074074061</v>
      </c>
      <c r="Q213" s="61">
        <v>0</v>
      </c>
      <c r="R213" s="61">
        <v>0</v>
      </c>
      <c r="S213" s="61">
        <v>0</v>
      </c>
      <c r="T213" s="12"/>
    </row>
    <row r="214" spans="1:20" customFormat="1" x14ac:dyDescent="0.35">
      <c r="A214" s="2" t="s">
        <v>483</v>
      </c>
      <c r="B214" s="2"/>
      <c r="C214" s="3"/>
      <c r="D214" s="2" t="s">
        <v>255</v>
      </c>
      <c r="E214" s="2" t="s">
        <v>417</v>
      </c>
      <c r="F214" s="36">
        <v>10</v>
      </c>
      <c r="G214" s="36"/>
      <c r="H214" s="36"/>
      <c r="I214" s="36">
        <v>5</v>
      </c>
      <c r="J214" s="36">
        <v>1</v>
      </c>
      <c r="K214" s="36">
        <v>0</v>
      </c>
      <c r="L214" s="37">
        <f t="shared" si="9"/>
        <v>0.25</v>
      </c>
      <c r="M214" s="36">
        <f t="shared" si="10"/>
        <v>0</v>
      </c>
      <c r="N214" s="38">
        <f t="shared" si="11"/>
        <v>0</v>
      </c>
      <c r="O214" s="36">
        <v>627</v>
      </c>
      <c r="P214" s="44">
        <v>5.4060648148148154</v>
      </c>
      <c r="Q214" s="61">
        <v>0</v>
      </c>
      <c r="R214" s="61">
        <v>0</v>
      </c>
      <c r="S214" s="61">
        <v>0</v>
      </c>
      <c r="T214" s="12"/>
    </row>
    <row r="215" spans="1:20" customFormat="1" x14ac:dyDescent="0.35">
      <c r="A215" s="2" t="s">
        <v>484</v>
      </c>
      <c r="B215" s="2"/>
      <c r="C215" s="3"/>
      <c r="D215" s="2" t="s">
        <v>256</v>
      </c>
      <c r="E215" s="2" t="s">
        <v>417</v>
      </c>
      <c r="F215" s="36">
        <v>2</v>
      </c>
      <c r="G215" s="36"/>
      <c r="H215" s="36"/>
      <c r="I215" s="36">
        <v>0</v>
      </c>
      <c r="J215" s="36">
        <v>0</v>
      </c>
      <c r="K215" s="36">
        <v>0</v>
      </c>
      <c r="L215" s="37">
        <f t="shared" si="9"/>
        <v>0</v>
      </c>
      <c r="M215" s="36">
        <f t="shared" si="10"/>
        <v>0</v>
      </c>
      <c r="N215" s="38">
        <f t="shared" si="11"/>
        <v>0</v>
      </c>
      <c r="O215" s="36">
        <v>65</v>
      </c>
      <c r="P215" s="44">
        <v>3.2651157407407405</v>
      </c>
      <c r="Q215" s="61">
        <v>0</v>
      </c>
      <c r="R215" s="61">
        <v>1</v>
      </c>
      <c r="S215" s="61">
        <v>0</v>
      </c>
      <c r="T215" s="12"/>
    </row>
    <row r="216" spans="1:20" customFormat="1" x14ac:dyDescent="0.35">
      <c r="A216" s="2" t="s">
        <v>484</v>
      </c>
      <c r="B216" s="2"/>
      <c r="C216" s="3"/>
      <c r="D216" s="2" t="s">
        <v>257</v>
      </c>
      <c r="E216" s="2" t="s">
        <v>417</v>
      </c>
      <c r="F216" s="36">
        <v>8</v>
      </c>
      <c r="G216" s="36"/>
      <c r="H216" s="36"/>
      <c r="I216" s="36">
        <v>4</v>
      </c>
      <c r="J216" s="36">
        <v>0</v>
      </c>
      <c r="K216" s="36">
        <v>0</v>
      </c>
      <c r="L216" s="37">
        <f t="shared" si="9"/>
        <v>0.2</v>
      </c>
      <c r="M216" s="36">
        <f t="shared" si="10"/>
        <v>0</v>
      </c>
      <c r="N216" s="38">
        <f t="shared" si="11"/>
        <v>0</v>
      </c>
      <c r="O216" s="36">
        <v>275</v>
      </c>
      <c r="P216" s="44">
        <v>4.1348032407407409</v>
      </c>
      <c r="Q216" s="61">
        <v>0</v>
      </c>
      <c r="R216" s="61">
        <v>0</v>
      </c>
      <c r="S216" s="61">
        <v>0</v>
      </c>
      <c r="T216" s="12"/>
    </row>
    <row r="217" spans="1:20" customFormat="1" x14ac:dyDescent="0.35">
      <c r="A217" s="2" t="s">
        <v>484</v>
      </c>
      <c r="B217" s="2"/>
      <c r="C217" s="3"/>
      <c r="D217" s="2" t="s">
        <v>258</v>
      </c>
      <c r="E217" s="2" t="s">
        <v>417</v>
      </c>
      <c r="F217" s="36">
        <v>8</v>
      </c>
      <c r="G217" s="36"/>
      <c r="H217" s="36"/>
      <c r="I217" s="36">
        <v>6</v>
      </c>
      <c r="J217" s="36">
        <v>0</v>
      </c>
      <c r="K217" s="36">
        <v>0</v>
      </c>
      <c r="L217" s="37">
        <f t="shared" si="9"/>
        <v>0.3</v>
      </c>
      <c r="M217" s="36">
        <f t="shared" si="10"/>
        <v>0</v>
      </c>
      <c r="N217" s="38">
        <f t="shared" si="11"/>
        <v>0</v>
      </c>
      <c r="O217" s="36">
        <v>218</v>
      </c>
      <c r="P217" s="44">
        <v>5.0193055555555555</v>
      </c>
      <c r="Q217" s="61">
        <v>0</v>
      </c>
      <c r="R217" s="61">
        <v>0</v>
      </c>
      <c r="S217" s="61">
        <v>0</v>
      </c>
      <c r="T217" s="12"/>
    </row>
    <row r="218" spans="1:20" customFormat="1" x14ac:dyDescent="0.35">
      <c r="A218" s="2" t="s">
        <v>484</v>
      </c>
      <c r="B218" s="2"/>
      <c r="C218" s="3"/>
      <c r="D218" s="2" t="s">
        <v>259</v>
      </c>
      <c r="E218" s="2" t="s">
        <v>417</v>
      </c>
      <c r="F218" s="36">
        <v>9</v>
      </c>
      <c r="G218" s="36"/>
      <c r="H218" s="36"/>
      <c r="I218" s="36">
        <v>10</v>
      </c>
      <c r="J218" s="36">
        <v>0</v>
      </c>
      <c r="K218" s="36">
        <v>1</v>
      </c>
      <c r="L218" s="37">
        <f t="shared" si="9"/>
        <v>0.5</v>
      </c>
      <c r="M218" s="36">
        <f t="shared" si="10"/>
        <v>1</v>
      </c>
      <c r="N218" s="38">
        <f t="shared" si="11"/>
        <v>10</v>
      </c>
      <c r="O218" s="36">
        <v>12</v>
      </c>
      <c r="P218" s="44">
        <v>2.8773032407407406</v>
      </c>
      <c r="Q218" s="61">
        <v>0</v>
      </c>
      <c r="R218" s="61">
        <v>0</v>
      </c>
      <c r="S218" s="61">
        <v>1</v>
      </c>
      <c r="T218" s="12"/>
    </row>
    <row r="219" spans="1:20" customFormat="1" x14ac:dyDescent="0.35">
      <c r="A219" s="2" t="s">
        <v>484</v>
      </c>
      <c r="B219" s="2"/>
      <c r="C219" s="3"/>
      <c r="D219" s="2" t="s">
        <v>260</v>
      </c>
      <c r="E219" s="2" t="s">
        <v>417</v>
      </c>
      <c r="F219" s="36">
        <v>2</v>
      </c>
      <c r="G219" s="36"/>
      <c r="H219" s="36"/>
      <c r="I219" s="36">
        <v>1</v>
      </c>
      <c r="J219" s="36">
        <v>0</v>
      </c>
      <c r="K219" s="36">
        <v>0</v>
      </c>
      <c r="L219" s="37">
        <f t="shared" si="9"/>
        <v>0.05</v>
      </c>
      <c r="M219" s="36">
        <f t="shared" si="10"/>
        <v>0</v>
      </c>
      <c r="N219" s="38">
        <f t="shared" si="11"/>
        <v>0</v>
      </c>
      <c r="O219" s="36">
        <v>6</v>
      </c>
      <c r="P219" s="44">
        <v>2.5081828703703701</v>
      </c>
      <c r="Q219" s="61">
        <v>0</v>
      </c>
      <c r="R219" s="61">
        <v>0</v>
      </c>
      <c r="S219" s="61">
        <v>2</v>
      </c>
      <c r="T219" s="12"/>
    </row>
    <row r="220" spans="1:20" customFormat="1" x14ac:dyDescent="0.35">
      <c r="A220" s="2" t="s">
        <v>484</v>
      </c>
      <c r="B220" s="2"/>
      <c r="C220" s="3"/>
      <c r="D220" s="2" t="s">
        <v>261</v>
      </c>
      <c r="E220" s="2" t="s">
        <v>417</v>
      </c>
      <c r="F220" s="36">
        <v>13</v>
      </c>
      <c r="G220" s="36"/>
      <c r="H220" s="36"/>
      <c r="I220" s="36">
        <v>6</v>
      </c>
      <c r="J220" s="36">
        <v>0</v>
      </c>
      <c r="K220" s="36">
        <v>0</v>
      </c>
      <c r="L220" s="37">
        <f t="shared" si="9"/>
        <v>0.3</v>
      </c>
      <c r="M220" s="36">
        <f t="shared" si="10"/>
        <v>0</v>
      </c>
      <c r="N220" s="38">
        <f t="shared" si="11"/>
        <v>0</v>
      </c>
      <c r="O220" s="36">
        <v>376</v>
      </c>
      <c r="P220" s="44">
        <v>5.0387499999999994</v>
      </c>
      <c r="Q220" s="61">
        <v>0</v>
      </c>
      <c r="R220" s="61">
        <v>0</v>
      </c>
      <c r="S220" s="61">
        <v>0</v>
      </c>
      <c r="T220" s="12"/>
    </row>
    <row r="221" spans="1:20" customFormat="1" x14ac:dyDescent="0.35">
      <c r="A221" s="2" t="s">
        <v>485</v>
      </c>
      <c r="B221" s="2"/>
      <c r="C221" s="3"/>
      <c r="D221" s="2" t="s">
        <v>262</v>
      </c>
      <c r="E221" s="2" t="s">
        <v>417</v>
      </c>
      <c r="F221" s="36">
        <v>9</v>
      </c>
      <c r="G221" s="36"/>
      <c r="H221" s="36"/>
      <c r="I221" s="36">
        <v>9</v>
      </c>
      <c r="J221" s="36">
        <v>0</v>
      </c>
      <c r="K221" s="36">
        <v>0</v>
      </c>
      <c r="L221" s="37">
        <f t="shared" si="9"/>
        <v>0.45</v>
      </c>
      <c r="M221" s="36">
        <f t="shared" si="10"/>
        <v>0</v>
      </c>
      <c r="N221" s="38">
        <f t="shared" si="11"/>
        <v>0</v>
      </c>
      <c r="O221" s="36">
        <v>119</v>
      </c>
      <c r="P221" s="44">
        <v>4.7492592592592597</v>
      </c>
      <c r="Q221" s="61">
        <v>0</v>
      </c>
      <c r="R221" s="61">
        <v>0</v>
      </c>
      <c r="S221" s="61">
        <v>1</v>
      </c>
      <c r="T221" s="12"/>
    </row>
    <row r="222" spans="1:20" customFormat="1" x14ac:dyDescent="0.35">
      <c r="A222" s="2" t="s">
        <v>485</v>
      </c>
      <c r="B222" s="2"/>
      <c r="C222" s="3"/>
      <c r="D222" s="2" t="s">
        <v>263</v>
      </c>
      <c r="E222" s="2" t="s">
        <v>417</v>
      </c>
      <c r="F222" s="36">
        <v>25</v>
      </c>
      <c r="G222" s="36"/>
      <c r="H222" s="36"/>
      <c r="I222" s="36">
        <v>21</v>
      </c>
      <c r="J222" s="36">
        <v>4</v>
      </c>
      <c r="K222" s="36">
        <v>1</v>
      </c>
      <c r="L222" s="37">
        <f t="shared" si="9"/>
        <v>1.05</v>
      </c>
      <c r="M222" s="36">
        <f t="shared" si="10"/>
        <v>1</v>
      </c>
      <c r="N222" s="38">
        <f t="shared" si="11"/>
        <v>21</v>
      </c>
      <c r="O222" s="36">
        <v>286</v>
      </c>
      <c r="P222" s="44">
        <v>4.7306944444444445</v>
      </c>
      <c r="Q222" s="61">
        <v>1</v>
      </c>
      <c r="R222" s="61">
        <v>0</v>
      </c>
      <c r="S222" s="61">
        <v>1</v>
      </c>
      <c r="T222" s="12"/>
    </row>
    <row r="223" spans="1:20" customFormat="1" x14ac:dyDescent="0.35">
      <c r="A223" s="2" t="s">
        <v>485</v>
      </c>
      <c r="B223" s="2"/>
      <c r="C223" s="3"/>
      <c r="D223" s="2" t="s">
        <v>264</v>
      </c>
      <c r="E223" s="2" t="s">
        <v>417</v>
      </c>
      <c r="F223" s="36">
        <v>11</v>
      </c>
      <c r="G223" s="36"/>
      <c r="H223" s="36"/>
      <c r="I223" s="36">
        <v>10</v>
      </c>
      <c r="J223" s="36">
        <v>1</v>
      </c>
      <c r="K223" s="36">
        <v>1</v>
      </c>
      <c r="L223" s="37">
        <f t="shared" si="9"/>
        <v>0.5</v>
      </c>
      <c r="M223" s="36">
        <f t="shared" si="10"/>
        <v>1</v>
      </c>
      <c r="N223" s="38">
        <f t="shared" si="11"/>
        <v>10</v>
      </c>
      <c r="O223" s="36">
        <v>426</v>
      </c>
      <c r="P223" s="44">
        <v>5.1384837962962955</v>
      </c>
      <c r="Q223" s="61">
        <v>0</v>
      </c>
      <c r="R223" s="61">
        <v>2</v>
      </c>
      <c r="S223" s="61">
        <v>0</v>
      </c>
      <c r="T223" s="12"/>
    </row>
    <row r="224" spans="1:20" customFormat="1" x14ac:dyDescent="0.35">
      <c r="A224" s="2" t="s">
        <v>485</v>
      </c>
      <c r="B224" s="2"/>
      <c r="C224" s="3"/>
      <c r="D224" s="2" t="s">
        <v>265</v>
      </c>
      <c r="E224" s="2" t="s">
        <v>417</v>
      </c>
      <c r="F224" s="36">
        <v>19</v>
      </c>
      <c r="G224" s="36"/>
      <c r="H224" s="36"/>
      <c r="I224" s="36">
        <v>17</v>
      </c>
      <c r="J224" s="36">
        <v>1</v>
      </c>
      <c r="K224" s="36">
        <v>0</v>
      </c>
      <c r="L224" s="37">
        <f t="shared" si="9"/>
        <v>0.85</v>
      </c>
      <c r="M224" s="36">
        <f t="shared" si="10"/>
        <v>0</v>
      </c>
      <c r="N224" s="38">
        <f t="shared" si="11"/>
        <v>0</v>
      </c>
      <c r="O224" s="36">
        <v>652</v>
      </c>
      <c r="P224" s="44">
        <v>4.4430787037037032</v>
      </c>
      <c r="Q224" s="61">
        <v>0</v>
      </c>
      <c r="R224" s="61">
        <v>0</v>
      </c>
      <c r="S224" s="61">
        <v>1</v>
      </c>
      <c r="T224" s="12"/>
    </row>
    <row r="225" spans="1:20" customFormat="1" x14ac:dyDescent="0.35">
      <c r="A225" s="2" t="s">
        <v>486</v>
      </c>
      <c r="B225" s="2"/>
      <c r="C225" s="3"/>
      <c r="D225" s="2" t="s">
        <v>266</v>
      </c>
      <c r="E225" s="2" t="s">
        <v>418</v>
      </c>
      <c r="F225" s="36">
        <v>13</v>
      </c>
      <c r="G225" s="36"/>
      <c r="H225" s="36"/>
      <c r="I225" s="36">
        <v>13</v>
      </c>
      <c r="J225" s="36">
        <v>0</v>
      </c>
      <c r="K225" s="36">
        <v>0</v>
      </c>
      <c r="L225" s="37">
        <f t="shared" si="9"/>
        <v>0.65</v>
      </c>
      <c r="M225" s="36">
        <f t="shared" si="10"/>
        <v>0</v>
      </c>
      <c r="N225" s="38">
        <f t="shared" si="11"/>
        <v>0</v>
      </c>
      <c r="O225" s="36">
        <v>106</v>
      </c>
      <c r="P225" s="44">
        <v>4.8935879629629628</v>
      </c>
      <c r="Q225" s="61">
        <v>2</v>
      </c>
      <c r="R225" s="61">
        <v>3</v>
      </c>
      <c r="S225" s="61">
        <v>0</v>
      </c>
      <c r="T225" s="12"/>
    </row>
    <row r="226" spans="1:20" customFormat="1" x14ac:dyDescent="0.35">
      <c r="A226" s="2" t="s">
        <v>486</v>
      </c>
      <c r="B226" s="2"/>
      <c r="C226" s="3"/>
      <c r="D226" s="2" t="s">
        <v>267</v>
      </c>
      <c r="E226" s="2" t="s">
        <v>418</v>
      </c>
      <c r="F226" s="36">
        <v>16</v>
      </c>
      <c r="G226" s="36"/>
      <c r="H226" s="36"/>
      <c r="I226" s="36">
        <v>16</v>
      </c>
      <c r="J226" s="36">
        <v>0</v>
      </c>
      <c r="K226" s="36">
        <v>0</v>
      </c>
      <c r="L226" s="37">
        <f t="shared" si="9"/>
        <v>0.8</v>
      </c>
      <c r="M226" s="36">
        <f t="shared" si="10"/>
        <v>0</v>
      </c>
      <c r="N226" s="38">
        <f t="shared" si="11"/>
        <v>0</v>
      </c>
      <c r="O226" s="36">
        <v>355</v>
      </c>
      <c r="P226" s="44">
        <v>5.0010763888888885</v>
      </c>
      <c r="Q226" s="61">
        <v>2</v>
      </c>
      <c r="R226" s="61">
        <v>0</v>
      </c>
      <c r="S226" s="61">
        <v>1</v>
      </c>
      <c r="T226" s="12"/>
    </row>
    <row r="227" spans="1:20" customFormat="1" x14ac:dyDescent="0.35">
      <c r="A227" s="2" t="s">
        <v>486</v>
      </c>
      <c r="B227" s="2"/>
      <c r="C227" s="3"/>
      <c r="D227" s="2" t="s">
        <v>268</v>
      </c>
      <c r="E227" s="2" t="s">
        <v>418</v>
      </c>
      <c r="F227" s="36">
        <v>0</v>
      </c>
      <c r="G227" s="36"/>
      <c r="H227" s="36"/>
      <c r="I227" s="36">
        <v>0</v>
      </c>
      <c r="J227" s="36">
        <v>0</v>
      </c>
      <c r="K227" s="36">
        <v>1</v>
      </c>
      <c r="L227" s="37">
        <f t="shared" si="9"/>
        <v>0</v>
      </c>
      <c r="M227" s="36">
        <f t="shared" si="10"/>
        <v>1</v>
      </c>
      <c r="N227" s="38">
        <f t="shared" si="11"/>
        <v>0</v>
      </c>
      <c r="O227" s="36">
        <v>2</v>
      </c>
      <c r="P227" s="44">
        <v>4.7078587962962954</v>
      </c>
      <c r="Q227" s="61">
        <v>0</v>
      </c>
      <c r="R227" s="61">
        <v>1</v>
      </c>
      <c r="S227" s="61">
        <v>0</v>
      </c>
      <c r="T227" s="12"/>
    </row>
    <row r="228" spans="1:20" customFormat="1" x14ac:dyDescent="0.35">
      <c r="A228" s="2" t="s">
        <v>486</v>
      </c>
      <c r="B228" s="2"/>
      <c r="C228" s="3"/>
      <c r="D228" s="2" t="s">
        <v>269</v>
      </c>
      <c r="E228" s="2" t="s">
        <v>418</v>
      </c>
      <c r="F228" s="36">
        <v>13</v>
      </c>
      <c r="G228" s="36"/>
      <c r="H228" s="36"/>
      <c r="I228" s="36">
        <v>13</v>
      </c>
      <c r="J228" s="36">
        <v>0</v>
      </c>
      <c r="K228" s="36">
        <v>0</v>
      </c>
      <c r="L228" s="37">
        <f t="shared" si="9"/>
        <v>0.65</v>
      </c>
      <c r="M228" s="36">
        <f t="shared" si="10"/>
        <v>0</v>
      </c>
      <c r="N228" s="38">
        <f t="shared" si="11"/>
        <v>0</v>
      </c>
      <c r="O228" s="36">
        <v>88</v>
      </c>
      <c r="P228" s="44">
        <v>5.2113657407407405</v>
      </c>
      <c r="Q228" s="61">
        <v>1</v>
      </c>
      <c r="R228" s="61">
        <v>0</v>
      </c>
      <c r="S228" s="61">
        <v>0</v>
      </c>
      <c r="T228" s="12"/>
    </row>
    <row r="229" spans="1:20" customFormat="1" x14ac:dyDescent="0.35">
      <c r="A229" s="2" t="s">
        <v>486</v>
      </c>
      <c r="B229" s="2"/>
      <c r="C229" s="3"/>
      <c r="D229" s="2" t="s">
        <v>270</v>
      </c>
      <c r="E229" s="2" t="s">
        <v>418</v>
      </c>
      <c r="F229" s="36">
        <v>2</v>
      </c>
      <c r="G229" s="36"/>
      <c r="H229" s="36"/>
      <c r="I229" s="36">
        <v>2</v>
      </c>
      <c r="J229" s="36">
        <v>0</v>
      </c>
      <c r="K229" s="36">
        <v>0</v>
      </c>
      <c r="L229" s="37">
        <f t="shared" si="9"/>
        <v>0.1</v>
      </c>
      <c r="M229" s="36">
        <f t="shared" si="10"/>
        <v>0</v>
      </c>
      <c r="N229" s="38">
        <f t="shared" si="11"/>
        <v>0</v>
      </c>
      <c r="O229" s="36">
        <v>35</v>
      </c>
      <c r="P229" s="44">
        <v>1.717175925925926</v>
      </c>
      <c r="Q229" s="61">
        <v>1</v>
      </c>
      <c r="R229" s="61">
        <v>1</v>
      </c>
      <c r="S229" s="61">
        <v>0</v>
      </c>
      <c r="T229" s="12"/>
    </row>
    <row r="230" spans="1:20" customFormat="1" x14ac:dyDescent="0.35">
      <c r="A230" s="2" t="s">
        <v>486</v>
      </c>
      <c r="B230" s="2"/>
      <c r="C230" s="3"/>
      <c r="D230" s="2" t="s">
        <v>271</v>
      </c>
      <c r="E230" s="2" t="s">
        <v>418</v>
      </c>
      <c r="F230" s="36">
        <v>1</v>
      </c>
      <c r="G230" s="36"/>
      <c r="H230" s="36"/>
      <c r="I230" s="36">
        <v>1</v>
      </c>
      <c r="J230" s="36">
        <v>0</v>
      </c>
      <c r="K230" s="36">
        <v>1</v>
      </c>
      <c r="L230" s="37">
        <f t="shared" si="9"/>
        <v>0.05</v>
      </c>
      <c r="M230" s="36">
        <f t="shared" si="10"/>
        <v>1</v>
      </c>
      <c r="N230" s="38">
        <f t="shared" si="11"/>
        <v>1</v>
      </c>
      <c r="O230" s="36">
        <v>1</v>
      </c>
      <c r="P230" s="44">
        <v>2.946226851851852</v>
      </c>
      <c r="Q230" s="61">
        <v>0</v>
      </c>
      <c r="R230" s="61">
        <v>0</v>
      </c>
      <c r="S230" s="61">
        <v>0</v>
      </c>
      <c r="T230" s="12"/>
    </row>
    <row r="231" spans="1:20" customFormat="1" x14ac:dyDescent="0.35">
      <c r="A231" s="2" t="s">
        <v>486</v>
      </c>
      <c r="B231" s="2"/>
      <c r="C231" s="3"/>
      <c r="D231" s="2" t="s">
        <v>272</v>
      </c>
      <c r="E231" s="2" t="s">
        <v>418</v>
      </c>
      <c r="F231" s="36">
        <v>7</v>
      </c>
      <c r="G231" s="36"/>
      <c r="H231" s="36"/>
      <c r="I231" s="36">
        <v>7</v>
      </c>
      <c r="J231" s="36">
        <v>0</v>
      </c>
      <c r="K231" s="36">
        <v>0</v>
      </c>
      <c r="L231" s="37">
        <f t="shared" si="9"/>
        <v>0.35</v>
      </c>
      <c r="M231" s="36">
        <f t="shared" si="10"/>
        <v>0</v>
      </c>
      <c r="N231" s="38">
        <f t="shared" si="11"/>
        <v>0</v>
      </c>
      <c r="O231" s="36">
        <v>60</v>
      </c>
      <c r="P231" s="44">
        <v>4.7652662037037041</v>
      </c>
      <c r="Q231" s="61">
        <v>1</v>
      </c>
      <c r="R231" s="61">
        <v>0</v>
      </c>
      <c r="S231" s="61">
        <v>2</v>
      </c>
      <c r="T231" s="12"/>
    </row>
    <row r="232" spans="1:20" customFormat="1" x14ac:dyDescent="0.35">
      <c r="A232" s="2" t="s">
        <v>487</v>
      </c>
      <c r="B232" s="2"/>
      <c r="C232" s="3"/>
      <c r="D232" s="2" t="s">
        <v>273</v>
      </c>
      <c r="E232" s="2" t="s">
        <v>418</v>
      </c>
      <c r="F232" s="36">
        <v>28</v>
      </c>
      <c r="G232" s="36"/>
      <c r="H232" s="36"/>
      <c r="I232" s="36">
        <v>26</v>
      </c>
      <c r="J232" s="36">
        <v>0</v>
      </c>
      <c r="K232" s="36">
        <v>0</v>
      </c>
      <c r="L232" s="37">
        <f t="shared" si="9"/>
        <v>1.3</v>
      </c>
      <c r="M232" s="36">
        <f t="shared" si="10"/>
        <v>0</v>
      </c>
      <c r="N232" s="38">
        <f t="shared" si="11"/>
        <v>0</v>
      </c>
      <c r="O232" s="36">
        <v>364</v>
      </c>
      <c r="P232" s="44">
        <v>5.2946643518518517</v>
      </c>
      <c r="Q232" s="61">
        <v>0</v>
      </c>
      <c r="R232" s="61">
        <v>1</v>
      </c>
      <c r="S232" s="61">
        <v>1</v>
      </c>
      <c r="T232" s="12"/>
    </row>
    <row r="233" spans="1:20" customFormat="1" x14ac:dyDescent="0.35">
      <c r="A233" s="2" t="s">
        <v>488</v>
      </c>
      <c r="B233" s="2"/>
      <c r="C233" s="3"/>
      <c r="D233" s="2" t="s">
        <v>274</v>
      </c>
      <c r="E233" s="2" t="s">
        <v>418</v>
      </c>
      <c r="F233" s="36">
        <v>0</v>
      </c>
      <c r="G233" s="36"/>
      <c r="H233" s="36"/>
      <c r="I233" s="36">
        <v>0</v>
      </c>
      <c r="J233" s="36">
        <v>0</v>
      </c>
      <c r="K233" s="36">
        <v>0</v>
      </c>
      <c r="L233" s="37">
        <f t="shared" si="9"/>
        <v>0</v>
      </c>
      <c r="M233" s="36">
        <f t="shared" si="10"/>
        <v>0</v>
      </c>
      <c r="N233" s="38">
        <f t="shared" si="11"/>
        <v>0</v>
      </c>
      <c r="O233" s="36">
        <v>1</v>
      </c>
      <c r="P233" s="44">
        <v>2.4092824074074075</v>
      </c>
      <c r="Q233" s="61">
        <v>1</v>
      </c>
      <c r="R233" s="61">
        <v>0</v>
      </c>
      <c r="S233" s="61">
        <v>0</v>
      </c>
      <c r="T233" s="12"/>
    </row>
    <row r="234" spans="1:20" customFormat="1" x14ac:dyDescent="0.35">
      <c r="A234" s="2" t="s">
        <v>488</v>
      </c>
      <c r="B234" s="2"/>
      <c r="C234" s="3"/>
      <c r="D234" s="2" t="s">
        <v>275</v>
      </c>
      <c r="E234" s="2" t="s">
        <v>418</v>
      </c>
      <c r="F234" s="36">
        <v>0</v>
      </c>
      <c r="G234" s="36"/>
      <c r="H234" s="36"/>
      <c r="I234" s="36">
        <v>0</v>
      </c>
      <c r="J234" s="36">
        <v>0</v>
      </c>
      <c r="K234" s="36">
        <v>0</v>
      </c>
      <c r="L234" s="37">
        <f t="shared" si="9"/>
        <v>0</v>
      </c>
      <c r="M234" s="36">
        <f t="shared" si="10"/>
        <v>0</v>
      </c>
      <c r="N234" s="38">
        <f t="shared" si="11"/>
        <v>0</v>
      </c>
      <c r="O234" s="36">
        <v>0</v>
      </c>
      <c r="P234" s="44">
        <v>0.14704861111111109</v>
      </c>
      <c r="Q234" s="61">
        <v>4</v>
      </c>
      <c r="R234" s="61">
        <v>9</v>
      </c>
      <c r="S234" s="61">
        <v>0</v>
      </c>
      <c r="T234" s="12"/>
    </row>
    <row r="235" spans="1:20" customFormat="1" x14ac:dyDescent="0.35">
      <c r="A235" s="2" t="s">
        <v>489</v>
      </c>
      <c r="B235" s="2"/>
      <c r="C235" s="3"/>
      <c r="D235" s="2" t="s">
        <v>276</v>
      </c>
      <c r="E235" s="2" t="s">
        <v>418</v>
      </c>
      <c r="F235" s="36">
        <v>15</v>
      </c>
      <c r="G235" s="36"/>
      <c r="H235" s="36"/>
      <c r="I235" s="36">
        <v>9</v>
      </c>
      <c r="J235" s="36">
        <v>5</v>
      </c>
      <c r="K235" s="36">
        <v>0</v>
      </c>
      <c r="L235" s="37">
        <f t="shared" si="9"/>
        <v>0.45</v>
      </c>
      <c r="M235" s="36">
        <f t="shared" si="10"/>
        <v>0</v>
      </c>
      <c r="N235" s="38">
        <f t="shared" si="11"/>
        <v>0</v>
      </c>
      <c r="O235" s="36">
        <v>170</v>
      </c>
      <c r="P235" s="44">
        <v>4.7553935185185185</v>
      </c>
      <c r="Q235" s="61">
        <v>0</v>
      </c>
      <c r="R235" s="61">
        <v>0</v>
      </c>
      <c r="S235" s="61">
        <v>0</v>
      </c>
      <c r="T235" s="12"/>
    </row>
    <row r="236" spans="1:20" x14ac:dyDescent="0.35">
      <c r="A236" s="2" t="s">
        <v>489</v>
      </c>
      <c r="B236" s="2"/>
      <c r="C236" s="3"/>
      <c r="D236" s="2" t="s">
        <v>277</v>
      </c>
      <c r="E236" s="2" t="s">
        <v>418</v>
      </c>
      <c r="F236" s="36">
        <v>11</v>
      </c>
      <c r="G236" s="36"/>
      <c r="H236" s="36"/>
      <c r="I236" s="36">
        <v>6</v>
      </c>
      <c r="J236" s="36">
        <v>0</v>
      </c>
      <c r="K236" s="36">
        <v>0</v>
      </c>
      <c r="L236" s="37">
        <f t="shared" si="9"/>
        <v>0.3</v>
      </c>
      <c r="M236" s="36">
        <f t="shared" si="10"/>
        <v>0</v>
      </c>
      <c r="N236" s="38">
        <f t="shared" si="11"/>
        <v>0</v>
      </c>
      <c r="O236" s="36">
        <v>312</v>
      </c>
      <c r="P236" s="44">
        <v>4.9179976851851848</v>
      </c>
      <c r="Q236" s="64">
        <v>0</v>
      </c>
      <c r="R236" s="64">
        <v>0</v>
      </c>
      <c r="S236" s="64">
        <v>0</v>
      </c>
    </row>
    <row r="237" spans="1:20" x14ac:dyDescent="0.35">
      <c r="A237" s="2" t="s">
        <v>489</v>
      </c>
      <c r="B237" s="2"/>
      <c r="C237" s="3"/>
      <c r="D237" s="2" t="s">
        <v>278</v>
      </c>
      <c r="E237" s="2" t="s">
        <v>418</v>
      </c>
      <c r="F237" s="36">
        <v>10</v>
      </c>
      <c r="G237" s="36"/>
      <c r="H237" s="36"/>
      <c r="I237" s="36">
        <v>4</v>
      </c>
      <c r="J237" s="36">
        <v>0</v>
      </c>
      <c r="K237" s="36">
        <v>0</v>
      </c>
      <c r="L237" s="37">
        <f t="shared" si="9"/>
        <v>0.2</v>
      </c>
      <c r="M237" s="36">
        <f t="shared" si="10"/>
        <v>0</v>
      </c>
      <c r="N237" s="38">
        <f t="shared" si="11"/>
        <v>0</v>
      </c>
      <c r="O237" s="36">
        <v>352</v>
      </c>
      <c r="P237" s="44">
        <v>4.8729629629629638</v>
      </c>
      <c r="Q237" s="64">
        <v>0</v>
      </c>
      <c r="R237" s="64">
        <v>0</v>
      </c>
      <c r="S237" s="64">
        <v>0</v>
      </c>
    </row>
    <row r="238" spans="1:20" x14ac:dyDescent="0.35">
      <c r="A238" s="2" t="s">
        <v>490</v>
      </c>
      <c r="B238" s="2"/>
      <c r="C238" s="3"/>
      <c r="D238" s="2" t="s">
        <v>279</v>
      </c>
      <c r="E238" s="2" t="s">
        <v>418</v>
      </c>
      <c r="F238" s="36">
        <v>9</v>
      </c>
      <c r="G238" s="36"/>
      <c r="H238" s="36"/>
      <c r="I238" s="36">
        <v>9</v>
      </c>
      <c r="J238" s="36">
        <v>0</v>
      </c>
      <c r="K238" s="36">
        <v>1</v>
      </c>
      <c r="L238" s="37">
        <f t="shared" si="9"/>
        <v>0.45</v>
      </c>
      <c r="M238" s="36">
        <f t="shared" si="10"/>
        <v>1</v>
      </c>
      <c r="N238" s="38">
        <f t="shared" si="11"/>
        <v>9</v>
      </c>
      <c r="O238" s="36">
        <v>71</v>
      </c>
      <c r="P238" s="44">
        <v>4.9528703703703698</v>
      </c>
      <c r="Q238" s="64">
        <v>0</v>
      </c>
      <c r="R238" s="64">
        <v>0</v>
      </c>
      <c r="S238" s="64">
        <v>2</v>
      </c>
    </row>
    <row r="239" spans="1:20" x14ac:dyDescent="0.35">
      <c r="A239" s="2" t="s">
        <v>490</v>
      </c>
      <c r="B239" s="2"/>
      <c r="C239" s="3"/>
      <c r="D239" s="2" t="s">
        <v>280</v>
      </c>
      <c r="E239" s="2" t="s">
        <v>418</v>
      </c>
      <c r="F239" s="36">
        <v>0</v>
      </c>
      <c r="G239" s="36"/>
      <c r="H239" s="36"/>
      <c r="I239" s="36">
        <v>0</v>
      </c>
      <c r="J239" s="36">
        <v>0</v>
      </c>
      <c r="K239" s="36">
        <v>0</v>
      </c>
      <c r="L239" s="37">
        <f t="shared" si="9"/>
        <v>0</v>
      </c>
      <c r="M239" s="36">
        <f t="shared" si="10"/>
        <v>0</v>
      </c>
      <c r="N239" s="38">
        <f t="shared" si="11"/>
        <v>0</v>
      </c>
      <c r="O239" s="36">
        <v>0</v>
      </c>
      <c r="P239" s="44">
        <v>0</v>
      </c>
      <c r="Q239" s="64">
        <v>0</v>
      </c>
      <c r="R239" s="64">
        <v>0</v>
      </c>
      <c r="S239" s="64">
        <v>1</v>
      </c>
    </row>
    <row r="240" spans="1:20" x14ac:dyDescent="0.35">
      <c r="A240" s="2" t="s">
        <v>490</v>
      </c>
      <c r="B240" s="2"/>
      <c r="C240" s="3"/>
      <c r="D240" s="2" t="s">
        <v>281</v>
      </c>
      <c r="E240" s="2" t="s">
        <v>418</v>
      </c>
      <c r="F240" s="36">
        <v>13</v>
      </c>
      <c r="G240" s="36"/>
      <c r="H240" s="36"/>
      <c r="I240" s="36">
        <v>13</v>
      </c>
      <c r="J240" s="36">
        <v>6</v>
      </c>
      <c r="K240" s="36">
        <v>1</v>
      </c>
      <c r="L240" s="37">
        <f t="shared" si="9"/>
        <v>0.65</v>
      </c>
      <c r="M240" s="36">
        <f t="shared" si="10"/>
        <v>1</v>
      </c>
      <c r="N240" s="38">
        <f t="shared" si="11"/>
        <v>13</v>
      </c>
      <c r="O240" s="36">
        <v>56</v>
      </c>
      <c r="P240" s="44">
        <v>5.0623726851851849</v>
      </c>
      <c r="Q240" s="64">
        <v>0</v>
      </c>
      <c r="R240" s="64">
        <v>0</v>
      </c>
      <c r="S240" s="64">
        <v>1</v>
      </c>
    </row>
    <row r="241" spans="1:19" x14ac:dyDescent="0.35">
      <c r="A241" s="2" t="s">
        <v>490</v>
      </c>
      <c r="B241" s="2"/>
      <c r="C241" s="3"/>
      <c r="D241" s="2" t="s">
        <v>282</v>
      </c>
      <c r="E241" s="2" t="s">
        <v>418</v>
      </c>
      <c r="F241" s="36">
        <v>24</v>
      </c>
      <c r="G241" s="36"/>
      <c r="H241" s="36"/>
      <c r="I241" s="36">
        <v>24</v>
      </c>
      <c r="J241" s="36">
        <v>2</v>
      </c>
      <c r="K241" s="36">
        <v>2</v>
      </c>
      <c r="L241" s="37">
        <f t="shared" si="9"/>
        <v>1.2</v>
      </c>
      <c r="M241" s="36">
        <f t="shared" si="10"/>
        <v>2</v>
      </c>
      <c r="N241" s="38">
        <f t="shared" si="11"/>
        <v>12</v>
      </c>
      <c r="O241" s="36">
        <v>342</v>
      </c>
      <c r="P241" s="44">
        <v>5.3084490740740744</v>
      </c>
      <c r="Q241" s="64">
        <v>2</v>
      </c>
      <c r="R241" s="64">
        <v>0</v>
      </c>
      <c r="S241" s="64">
        <v>0</v>
      </c>
    </row>
    <row r="242" spans="1:19" x14ac:dyDescent="0.35">
      <c r="A242" s="2" t="s">
        <v>491</v>
      </c>
      <c r="B242" s="2"/>
      <c r="C242" s="3"/>
      <c r="D242" s="2" t="s">
        <v>283</v>
      </c>
      <c r="E242" s="2" t="s">
        <v>418</v>
      </c>
      <c r="F242" s="36">
        <v>17</v>
      </c>
      <c r="G242" s="36"/>
      <c r="H242" s="36"/>
      <c r="I242" s="36">
        <v>17</v>
      </c>
      <c r="J242" s="36">
        <v>0</v>
      </c>
      <c r="K242" s="36">
        <v>0</v>
      </c>
      <c r="L242" s="37">
        <f t="shared" si="9"/>
        <v>0.85</v>
      </c>
      <c r="M242" s="36">
        <f t="shared" si="10"/>
        <v>0</v>
      </c>
      <c r="N242" s="38">
        <f t="shared" si="11"/>
        <v>0</v>
      </c>
      <c r="O242" s="36">
        <v>132</v>
      </c>
      <c r="P242" s="44">
        <v>5.3098032407407407</v>
      </c>
      <c r="Q242" s="64">
        <v>0</v>
      </c>
      <c r="R242" s="64">
        <v>2</v>
      </c>
      <c r="S242" s="64">
        <v>0</v>
      </c>
    </row>
    <row r="243" spans="1:19" x14ac:dyDescent="0.35">
      <c r="A243" s="2" t="s">
        <v>491</v>
      </c>
      <c r="B243" s="2"/>
      <c r="C243" s="3"/>
      <c r="D243" s="2" t="s">
        <v>284</v>
      </c>
      <c r="E243" s="2" t="s">
        <v>418</v>
      </c>
      <c r="F243" s="36">
        <v>9</v>
      </c>
      <c r="G243" s="36"/>
      <c r="H243" s="36"/>
      <c r="I243" s="36">
        <v>9</v>
      </c>
      <c r="J243" s="36">
        <v>3</v>
      </c>
      <c r="K243" s="36">
        <v>0</v>
      </c>
      <c r="L243" s="37">
        <f t="shared" si="9"/>
        <v>0.45</v>
      </c>
      <c r="M243" s="36">
        <f t="shared" si="10"/>
        <v>0</v>
      </c>
      <c r="N243" s="38">
        <f t="shared" si="11"/>
        <v>0</v>
      </c>
      <c r="O243" s="36">
        <v>52</v>
      </c>
      <c r="P243" s="44">
        <v>3.9996990740740745</v>
      </c>
      <c r="Q243" s="64">
        <v>0</v>
      </c>
      <c r="R243" s="64">
        <v>0</v>
      </c>
      <c r="S243" s="64">
        <v>0</v>
      </c>
    </row>
    <row r="244" spans="1:19" x14ac:dyDescent="0.35">
      <c r="A244" s="2" t="s">
        <v>491</v>
      </c>
      <c r="B244" s="2"/>
      <c r="C244" s="3"/>
      <c r="D244" s="2" t="s">
        <v>285</v>
      </c>
      <c r="E244" s="2" t="s">
        <v>418</v>
      </c>
      <c r="F244" s="36">
        <v>6</v>
      </c>
      <c r="G244" s="36"/>
      <c r="H244" s="36"/>
      <c r="I244" s="36">
        <v>6</v>
      </c>
      <c r="J244" s="36">
        <v>0</v>
      </c>
      <c r="K244" s="36">
        <v>1</v>
      </c>
      <c r="L244" s="37">
        <f t="shared" si="9"/>
        <v>0.3</v>
      </c>
      <c r="M244" s="36">
        <f t="shared" si="10"/>
        <v>1</v>
      </c>
      <c r="N244" s="38">
        <f t="shared" si="11"/>
        <v>6</v>
      </c>
      <c r="O244" s="36">
        <v>16</v>
      </c>
      <c r="P244" s="44">
        <v>4.523923611111111</v>
      </c>
      <c r="Q244" s="64">
        <v>1</v>
      </c>
      <c r="R244" s="64">
        <v>0</v>
      </c>
      <c r="S244" s="64">
        <v>0</v>
      </c>
    </row>
    <row r="245" spans="1:19" x14ac:dyDescent="0.35">
      <c r="A245" s="2" t="s">
        <v>492</v>
      </c>
      <c r="B245" s="2"/>
      <c r="C245" s="3"/>
      <c r="D245" s="2" t="s">
        <v>286</v>
      </c>
      <c r="E245" s="2" t="s">
        <v>419</v>
      </c>
      <c r="F245" s="36">
        <v>0</v>
      </c>
      <c r="G245" s="36"/>
      <c r="H245" s="36"/>
      <c r="I245" s="36">
        <v>0</v>
      </c>
      <c r="J245" s="36">
        <v>0</v>
      </c>
      <c r="K245" s="36">
        <v>0</v>
      </c>
      <c r="L245" s="37">
        <f t="shared" si="9"/>
        <v>0</v>
      </c>
      <c r="M245" s="36">
        <f t="shared" si="10"/>
        <v>0</v>
      </c>
      <c r="N245" s="38">
        <f t="shared" si="11"/>
        <v>0</v>
      </c>
      <c r="O245" s="36">
        <v>9</v>
      </c>
      <c r="P245" s="44">
        <v>2.6407407407407404</v>
      </c>
      <c r="Q245" s="64">
        <v>0</v>
      </c>
      <c r="R245" s="64">
        <v>0</v>
      </c>
      <c r="S245" s="64">
        <v>1</v>
      </c>
    </row>
    <row r="246" spans="1:19" x14ac:dyDescent="0.35">
      <c r="A246" s="2" t="s">
        <v>492</v>
      </c>
      <c r="B246" s="2"/>
      <c r="C246" s="3"/>
      <c r="D246" s="2" t="s">
        <v>287</v>
      </c>
      <c r="E246" s="2" t="s">
        <v>419</v>
      </c>
      <c r="F246" s="36">
        <v>16</v>
      </c>
      <c r="G246" s="36"/>
      <c r="H246" s="36"/>
      <c r="I246" s="36">
        <v>15</v>
      </c>
      <c r="J246" s="36">
        <v>0</v>
      </c>
      <c r="K246" s="36">
        <v>1</v>
      </c>
      <c r="L246" s="37">
        <f t="shared" si="9"/>
        <v>0.75</v>
      </c>
      <c r="M246" s="36">
        <f t="shared" si="10"/>
        <v>1</v>
      </c>
      <c r="N246" s="38">
        <f t="shared" si="11"/>
        <v>15</v>
      </c>
      <c r="O246" s="36">
        <v>459</v>
      </c>
      <c r="P246" s="44">
        <v>5.7683564814814812</v>
      </c>
      <c r="Q246" s="64">
        <v>1</v>
      </c>
      <c r="R246" s="64">
        <v>0</v>
      </c>
      <c r="S246" s="64">
        <v>1</v>
      </c>
    </row>
    <row r="247" spans="1:19" x14ac:dyDescent="0.35">
      <c r="A247" s="2" t="s">
        <v>492</v>
      </c>
      <c r="B247" s="2"/>
      <c r="C247" s="3"/>
      <c r="D247" s="2" t="s">
        <v>288</v>
      </c>
      <c r="E247" s="2" t="s">
        <v>419</v>
      </c>
      <c r="F247" s="36">
        <v>21</v>
      </c>
      <c r="G247" s="36"/>
      <c r="H247" s="36"/>
      <c r="I247" s="36">
        <v>14</v>
      </c>
      <c r="J247" s="36">
        <v>1</v>
      </c>
      <c r="K247" s="36">
        <v>0</v>
      </c>
      <c r="L247" s="37">
        <f t="shared" si="9"/>
        <v>0.7</v>
      </c>
      <c r="M247" s="36">
        <f t="shared" si="10"/>
        <v>0</v>
      </c>
      <c r="N247" s="38">
        <f t="shared" si="11"/>
        <v>0</v>
      </c>
      <c r="O247" s="36">
        <v>322</v>
      </c>
      <c r="P247" s="44">
        <v>4.8780324074074075</v>
      </c>
      <c r="Q247" s="64">
        <v>0</v>
      </c>
      <c r="R247" s="64">
        <v>0</v>
      </c>
      <c r="S247" s="64">
        <v>0</v>
      </c>
    </row>
    <row r="248" spans="1:19" x14ac:dyDescent="0.35">
      <c r="A248" s="2" t="s">
        <v>492</v>
      </c>
      <c r="B248" s="2"/>
      <c r="C248" s="3"/>
      <c r="D248" s="2" t="s">
        <v>289</v>
      </c>
      <c r="E248" s="2" t="s">
        <v>419</v>
      </c>
      <c r="F248" s="36">
        <v>9</v>
      </c>
      <c r="G248" s="36"/>
      <c r="H248" s="36"/>
      <c r="I248" s="36">
        <v>6</v>
      </c>
      <c r="J248" s="36">
        <v>0</v>
      </c>
      <c r="K248" s="36">
        <v>1</v>
      </c>
      <c r="L248" s="37">
        <f t="shared" si="9"/>
        <v>0.3</v>
      </c>
      <c r="M248" s="36">
        <f t="shared" si="10"/>
        <v>1</v>
      </c>
      <c r="N248" s="38">
        <f t="shared" si="11"/>
        <v>6</v>
      </c>
      <c r="O248" s="36">
        <v>351</v>
      </c>
      <c r="P248" s="44">
        <v>4.9098032407407404</v>
      </c>
      <c r="Q248" s="64">
        <v>0</v>
      </c>
      <c r="R248" s="64">
        <v>0</v>
      </c>
      <c r="S248" s="64">
        <v>1</v>
      </c>
    </row>
    <row r="249" spans="1:19" x14ac:dyDescent="0.35">
      <c r="A249" s="2" t="s">
        <v>492</v>
      </c>
      <c r="B249" s="2"/>
      <c r="C249" s="3"/>
      <c r="D249" s="2" t="s">
        <v>290</v>
      </c>
      <c r="E249" s="2" t="s">
        <v>419</v>
      </c>
      <c r="F249" s="36">
        <v>9</v>
      </c>
      <c r="G249" s="36"/>
      <c r="H249" s="36"/>
      <c r="I249" s="36">
        <v>6</v>
      </c>
      <c r="J249" s="36">
        <v>0</v>
      </c>
      <c r="K249" s="36">
        <v>0</v>
      </c>
      <c r="L249" s="37">
        <f t="shared" si="9"/>
        <v>0.3</v>
      </c>
      <c r="M249" s="36">
        <f t="shared" si="10"/>
        <v>0</v>
      </c>
      <c r="N249" s="38">
        <f t="shared" si="11"/>
        <v>0</v>
      </c>
      <c r="O249" s="36">
        <v>201</v>
      </c>
      <c r="P249" s="44">
        <v>4.8463657407407403</v>
      </c>
      <c r="Q249" s="64">
        <v>0</v>
      </c>
      <c r="R249" s="64">
        <v>1</v>
      </c>
      <c r="S249" s="64">
        <v>0</v>
      </c>
    </row>
    <row r="250" spans="1:19" x14ac:dyDescent="0.35">
      <c r="A250" s="2" t="s">
        <v>492</v>
      </c>
      <c r="B250" s="2"/>
      <c r="C250" s="3"/>
      <c r="D250" s="2" t="s">
        <v>291</v>
      </c>
      <c r="E250" s="2" t="s">
        <v>419</v>
      </c>
      <c r="F250" s="36">
        <v>16</v>
      </c>
      <c r="G250" s="36"/>
      <c r="H250" s="36"/>
      <c r="I250" s="36">
        <v>9</v>
      </c>
      <c r="J250" s="36">
        <v>1</v>
      </c>
      <c r="K250" s="36">
        <v>1</v>
      </c>
      <c r="L250" s="37">
        <f t="shared" si="9"/>
        <v>0.45</v>
      </c>
      <c r="M250" s="36">
        <f t="shared" si="10"/>
        <v>1</v>
      </c>
      <c r="N250" s="38">
        <f t="shared" si="11"/>
        <v>9</v>
      </c>
      <c r="O250" s="36">
        <v>286</v>
      </c>
      <c r="P250" s="44">
        <v>5.183425925925925</v>
      </c>
      <c r="Q250" s="64">
        <v>0</v>
      </c>
      <c r="R250" s="64">
        <v>1</v>
      </c>
      <c r="S250" s="64">
        <v>0</v>
      </c>
    </row>
    <row r="251" spans="1:19" x14ac:dyDescent="0.35">
      <c r="A251" s="2" t="s">
        <v>492</v>
      </c>
      <c r="B251" s="2"/>
      <c r="C251" s="3"/>
      <c r="D251" s="2" t="s">
        <v>292</v>
      </c>
      <c r="E251" s="2" t="s">
        <v>419</v>
      </c>
      <c r="F251" s="36">
        <v>6</v>
      </c>
      <c r="G251" s="36"/>
      <c r="H251" s="36"/>
      <c r="I251" s="36">
        <v>5</v>
      </c>
      <c r="J251" s="36">
        <v>1</v>
      </c>
      <c r="K251" s="36">
        <v>0</v>
      </c>
      <c r="L251" s="37">
        <f t="shared" si="9"/>
        <v>0.25</v>
      </c>
      <c r="M251" s="36">
        <f t="shared" si="10"/>
        <v>0</v>
      </c>
      <c r="N251" s="38">
        <f t="shared" si="11"/>
        <v>0</v>
      </c>
      <c r="O251" s="36">
        <v>415</v>
      </c>
      <c r="P251" s="44">
        <v>2.1727430555555558</v>
      </c>
      <c r="Q251" s="64">
        <v>0</v>
      </c>
      <c r="R251" s="64">
        <v>0</v>
      </c>
      <c r="S251" s="64">
        <v>0</v>
      </c>
    </row>
    <row r="252" spans="1:19" x14ac:dyDescent="0.35">
      <c r="A252" s="2" t="s">
        <v>492</v>
      </c>
      <c r="B252" s="2"/>
      <c r="C252" s="32"/>
      <c r="D252" s="2" t="s">
        <v>293</v>
      </c>
      <c r="E252" s="2" t="s">
        <v>419</v>
      </c>
      <c r="F252" s="36">
        <v>13</v>
      </c>
      <c r="G252" s="36"/>
      <c r="H252" s="36"/>
      <c r="I252" s="36">
        <v>6</v>
      </c>
      <c r="J252" s="36">
        <v>1</v>
      </c>
      <c r="K252" s="36">
        <v>1</v>
      </c>
      <c r="L252" s="37">
        <f t="shared" si="9"/>
        <v>0.3</v>
      </c>
      <c r="M252" s="36">
        <f t="shared" si="10"/>
        <v>1</v>
      </c>
      <c r="N252" s="38">
        <f t="shared" si="11"/>
        <v>6</v>
      </c>
      <c r="O252" s="36">
        <v>375</v>
      </c>
      <c r="P252" s="44">
        <v>4.1106249999999998</v>
      </c>
      <c r="Q252" s="64">
        <v>0</v>
      </c>
      <c r="R252" s="64">
        <v>0</v>
      </c>
      <c r="S252" s="64">
        <v>1</v>
      </c>
    </row>
    <row r="253" spans="1:19" x14ac:dyDescent="0.35">
      <c r="A253" s="2" t="s">
        <v>492</v>
      </c>
      <c r="B253" s="2"/>
      <c r="C253" s="32"/>
      <c r="D253" s="2" t="s">
        <v>294</v>
      </c>
      <c r="E253" s="2" t="s">
        <v>419</v>
      </c>
      <c r="F253" s="36">
        <v>7</v>
      </c>
      <c r="G253" s="36"/>
      <c r="H253" s="36"/>
      <c r="I253" s="36">
        <v>3</v>
      </c>
      <c r="J253" s="36">
        <v>0</v>
      </c>
      <c r="K253" s="36">
        <v>0</v>
      </c>
      <c r="L253" s="37">
        <f t="shared" si="9"/>
        <v>0.15</v>
      </c>
      <c r="M253" s="36">
        <f t="shared" si="10"/>
        <v>0</v>
      </c>
      <c r="N253" s="38">
        <f t="shared" si="11"/>
        <v>0</v>
      </c>
      <c r="O253" s="36">
        <v>505</v>
      </c>
      <c r="P253" s="44">
        <v>4.9736226851851857</v>
      </c>
      <c r="Q253" s="64">
        <v>0</v>
      </c>
      <c r="R253" s="64">
        <v>0</v>
      </c>
      <c r="S253" s="64">
        <v>0</v>
      </c>
    </row>
    <row r="254" spans="1:19" x14ac:dyDescent="0.35">
      <c r="A254" s="2" t="s">
        <v>493</v>
      </c>
      <c r="B254" s="2"/>
      <c r="C254" s="32"/>
      <c r="D254" s="2" t="s">
        <v>295</v>
      </c>
      <c r="E254" s="2" t="s">
        <v>419</v>
      </c>
      <c r="F254" s="36">
        <v>0</v>
      </c>
      <c r="G254" s="36"/>
      <c r="H254" s="36"/>
      <c r="I254" s="36">
        <v>0</v>
      </c>
      <c r="J254" s="36">
        <v>0</v>
      </c>
      <c r="K254" s="36">
        <v>0</v>
      </c>
      <c r="L254" s="37">
        <f t="shared" si="9"/>
        <v>0</v>
      </c>
      <c r="M254" s="36">
        <f t="shared" si="10"/>
        <v>0</v>
      </c>
      <c r="N254" s="38">
        <f t="shared" si="11"/>
        <v>0</v>
      </c>
      <c r="O254" s="36">
        <v>33</v>
      </c>
      <c r="P254" s="44">
        <v>4.3150347222222223</v>
      </c>
      <c r="Q254" s="64">
        <v>1</v>
      </c>
      <c r="R254" s="64">
        <v>0</v>
      </c>
      <c r="S254" s="64">
        <v>0</v>
      </c>
    </row>
    <row r="255" spans="1:19" x14ac:dyDescent="0.35">
      <c r="A255" s="2" t="s">
        <v>493</v>
      </c>
      <c r="B255" s="2"/>
      <c r="C255" s="32"/>
      <c r="D255" s="2" t="s">
        <v>296</v>
      </c>
      <c r="E255" s="2" t="s">
        <v>419</v>
      </c>
      <c r="F255" s="36">
        <v>10</v>
      </c>
      <c r="G255" s="36"/>
      <c r="H255" s="36"/>
      <c r="I255" s="36">
        <v>11</v>
      </c>
      <c r="J255" s="36">
        <v>0</v>
      </c>
      <c r="K255" s="36">
        <v>0</v>
      </c>
      <c r="L255" s="37">
        <f t="shared" si="9"/>
        <v>0.55000000000000004</v>
      </c>
      <c r="M255" s="36">
        <f t="shared" si="10"/>
        <v>0</v>
      </c>
      <c r="N255" s="38">
        <f t="shared" si="11"/>
        <v>0</v>
      </c>
      <c r="O255" s="36">
        <v>1028</v>
      </c>
      <c r="P255" s="44">
        <v>5.5741782407407401</v>
      </c>
      <c r="Q255" s="64">
        <v>0</v>
      </c>
      <c r="R255" s="64">
        <v>0</v>
      </c>
      <c r="S255" s="64">
        <v>0</v>
      </c>
    </row>
    <row r="256" spans="1:19" x14ac:dyDescent="0.35">
      <c r="A256" s="2" t="s">
        <v>493</v>
      </c>
      <c r="B256" s="2"/>
      <c r="C256" s="32"/>
      <c r="D256" s="2" t="s">
        <v>297</v>
      </c>
      <c r="E256" s="2" t="s">
        <v>419</v>
      </c>
      <c r="F256" s="36">
        <v>10</v>
      </c>
      <c r="G256" s="36"/>
      <c r="H256" s="36"/>
      <c r="I256" s="36">
        <v>10</v>
      </c>
      <c r="J256" s="36">
        <v>1</v>
      </c>
      <c r="K256" s="36">
        <v>1</v>
      </c>
      <c r="L256" s="37">
        <f t="shared" si="9"/>
        <v>0.5</v>
      </c>
      <c r="M256" s="36">
        <f t="shared" si="10"/>
        <v>1</v>
      </c>
      <c r="N256" s="38">
        <f t="shared" si="11"/>
        <v>10</v>
      </c>
      <c r="O256" s="36">
        <v>387</v>
      </c>
      <c r="P256" s="44">
        <v>3.9933449074074074</v>
      </c>
      <c r="Q256" s="64">
        <v>0</v>
      </c>
      <c r="R256" s="64">
        <v>0</v>
      </c>
      <c r="S256" s="64">
        <v>0</v>
      </c>
    </row>
    <row r="257" spans="1:19" x14ac:dyDescent="0.35">
      <c r="A257" s="2" t="s">
        <v>494</v>
      </c>
      <c r="B257" s="2"/>
      <c r="C257" s="32"/>
      <c r="D257" s="2" t="s">
        <v>298</v>
      </c>
      <c r="E257" s="2" t="s">
        <v>419</v>
      </c>
      <c r="F257" s="36">
        <v>12</v>
      </c>
      <c r="G257" s="36"/>
      <c r="H257" s="36"/>
      <c r="I257" s="36">
        <v>11</v>
      </c>
      <c r="J257" s="36">
        <v>0</v>
      </c>
      <c r="K257" s="36">
        <v>0</v>
      </c>
      <c r="L257" s="37">
        <f t="shared" si="9"/>
        <v>0.55000000000000004</v>
      </c>
      <c r="M257" s="36">
        <f t="shared" si="10"/>
        <v>0</v>
      </c>
      <c r="N257" s="38">
        <f t="shared" si="11"/>
        <v>0</v>
      </c>
      <c r="O257" s="36">
        <v>1150</v>
      </c>
      <c r="P257" s="44">
        <v>5.3585648148148142</v>
      </c>
      <c r="Q257" s="64">
        <v>0</v>
      </c>
      <c r="R257" s="64">
        <v>0</v>
      </c>
      <c r="S257" s="64">
        <v>0</v>
      </c>
    </row>
    <row r="258" spans="1:19" x14ac:dyDescent="0.35">
      <c r="A258" s="2" t="s">
        <v>494</v>
      </c>
      <c r="B258" s="2"/>
      <c r="C258" s="32"/>
      <c r="D258" s="2" t="s">
        <v>299</v>
      </c>
      <c r="E258" s="2" t="s">
        <v>419</v>
      </c>
      <c r="F258" s="36">
        <v>8</v>
      </c>
      <c r="G258" s="36"/>
      <c r="H258" s="36"/>
      <c r="I258" s="36">
        <v>7</v>
      </c>
      <c r="J258" s="36">
        <v>1</v>
      </c>
      <c r="K258" s="36">
        <v>0</v>
      </c>
      <c r="L258" s="37">
        <f t="shared" si="9"/>
        <v>0.35</v>
      </c>
      <c r="M258" s="36">
        <f t="shared" si="10"/>
        <v>0</v>
      </c>
      <c r="N258" s="38">
        <f t="shared" si="11"/>
        <v>0</v>
      </c>
      <c r="O258" s="36">
        <v>22</v>
      </c>
      <c r="P258" s="44">
        <v>5.3835648148148145</v>
      </c>
      <c r="Q258" s="64">
        <v>0</v>
      </c>
      <c r="R258" s="64">
        <v>0</v>
      </c>
      <c r="S258" s="64">
        <v>0</v>
      </c>
    </row>
    <row r="259" spans="1:19" x14ac:dyDescent="0.35">
      <c r="A259" s="2" t="s">
        <v>494</v>
      </c>
      <c r="B259" s="2"/>
      <c r="C259" s="32"/>
      <c r="D259" s="2" t="s">
        <v>300</v>
      </c>
      <c r="E259" s="2" t="s">
        <v>419</v>
      </c>
      <c r="F259" s="36">
        <v>22</v>
      </c>
      <c r="G259" s="36"/>
      <c r="H259" s="36"/>
      <c r="I259" s="36">
        <v>15</v>
      </c>
      <c r="J259" s="36">
        <v>2</v>
      </c>
      <c r="K259" s="36">
        <v>0</v>
      </c>
      <c r="L259" s="37">
        <f t="shared" ref="L259:L322" si="12">I259/20</f>
        <v>0.75</v>
      </c>
      <c r="M259" s="36">
        <f t="shared" ref="M259:M322" si="13">K259</f>
        <v>0</v>
      </c>
      <c r="N259" s="38">
        <f t="shared" ref="N259:N322" si="14">IFERROR(I259/K259,0)</f>
        <v>0</v>
      </c>
      <c r="O259" s="36">
        <v>438</v>
      </c>
      <c r="P259" s="44">
        <v>4.5122106481481481</v>
      </c>
      <c r="Q259" s="64">
        <v>0</v>
      </c>
      <c r="R259" s="64">
        <v>0</v>
      </c>
      <c r="S259" s="64">
        <v>1</v>
      </c>
    </row>
    <row r="260" spans="1:19" x14ac:dyDescent="0.35">
      <c r="A260" s="2" t="s">
        <v>495</v>
      </c>
      <c r="B260" s="2"/>
      <c r="C260" s="32"/>
      <c r="D260" s="2" t="s">
        <v>43</v>
      </c>
      <c r="E260" s="2" t="s">
        <v>419</v>
      </c>
      <c r="F260" s="36">
        <v>8</v>
      </c>
      <c r="G260" s="36"/>
      <c r="H260" s="36"/>
      <c r="I260" s="36">
        <v>5</v>
      </c>
      <c r="J260" s="36">
        <v>1</v>
      </c>
      <c r="K260" s="36">
        <v>0</v>
      </c>
      <c r="L260" s="37">
        <f t="shared" si="12"/>
        <v>0.25</v>
      </c>
      <c r="M260" s="36">
        <f t="shared" si="13"/>
        <v>0</v>
      </c>
      <c r="N260" s="38">
        <f t="shared" si="14"/>
        <v>0</v>
      </c>
      <c r="O260" s="36">
        <v>274</v>
      </c>
      <c r="P260" s="44">
        <v>5.1964351851851855</v>
      </c>
      <c r="Q260" s="64">
        <v>0</v>
      </c>
      <c r="R260" s="64">
        <v>0</v>
      </c>
      <c r="S260" s="64">
        <v>0</v>
      </c>
    </row>
    <row r="261" spans="1:19" x14ac:dyDescent="0.35">
      <c r="A261" s="2" t="s">
        <v>495</v>
      </c>
      <c r="B261" s="2"/>
      <c r="C261" s="32"/>
      <c r="D261" s="2" t="s">
        <v>301</v>
      </c>
      <c r="E261" s="2" t="s">
        <v>419</v>
      </c>
      <c r="F261" s="36">
        <v>11</v>
      </c>
      <c r="G261" s="36"/>
      <c r="H261" s="36"/>
      <c r="I261" s="36">
        <v>7</v>
      </c>
      <c r="J261" s="36">
        <v>6</v>
      </c>
      <c r="K261" s="36">
        <v>0</v>
      </c>
      <c r="L261" s="37">
        <f t="shared" si="12"/>
        <v>0.35</v>
      </c>
      <c r="M261" s="36">
        <f t="shared" si="13"/>
        <v>0</v>
      </c>
      <c r="N261" s="38">
        <f t="shared" si="14"/>
        <v>0</v>
      </c>
      <c r="O261" s="36">
        <v>542</v>
      </c>
      <c r="P261" s="44">
        <v>4.6761342592592587</v>
      </c>
      <c r="Q261" s="64">
        <v>0</v>
      </c>
      <c r="R261" s="64">
        <v>0</v>
      </c>
      <c r="S261" s="64">
        <v>0</v>
      </c>
    </row>
    <row r="262" spans="1:19" x14ac:dyDescent="0.35">
      <c r="A262" s="2" t="s">
        <v>495</v>
      </c>
      <c r="B262" s="2"/>
      <c r="C262" s="32"/>
      <c r="D262" s="2" t="s">
        <v>302</v>
      </c>
      <c r="E262" s="2" t="s">
        <v>419</v>
      </c>
      <c r="F262" s="36">
        <v>11</v>
      </c>
      <c r="G262" s="36"/>
      <c r="H262" s="36"/>
      <c r="I262" s="36">
        <v>4</v>
      </c>
      <c r="J262" s="36">
        <v>3</v>
      </c>
      <c r="K262" s="36">
        <v>0</v>
      </c>
      <c r="L262" s="37">
        <f t="shared" si="12"/>
        <v>0.2</v>
      </c>
      <c r="M262" s="36">
        <f t="shared" si="13"/>
        <v>0</v>
      </c>
      <c r="N262" s="38">
        <f t="shared" si="14"/>
        <v>0</v>
      </c>
      <c r="O262" s="36">
        <v>818</v>
      </c>
      <c r="P262" s="44">
        <v>5.5014004629629625</v>
      </c>
      <c r="Q262" s="64">
        <v>0</v>
      </c>
      <c r="R262" s="64">
        <v>0</v>
      </c>
      <c r="S262" s="64">
        <v>1</v>
      </c>
    </row>
    <row r="263" spans="1:19" x14ac:dyDescent="0.35">
      <c r="A263" s="2" t="s">
        <v>495</v>
      </c>
      <c r="B263" s="2"/>
      <c r="C263" s="32"/>
      <c r="D263" s="2" t="s">
        <v>303</v>
      </c>
      <c r="E263" s="2" t="s">
        <v>419</v>
      </c>
      <c r="F263" s="36">
        <v>17</v>
      </c>
      <c r="G263" s="36"/>
      <c r="H263" s="36"/>
      <c r="I263" s="36">
        <v>12</v>
      </c>
      <c r="J263" s="36">
        <v>4</v>
      </c>
      <c r="K263" s="36">
        <v>0</v>
      </c>
      <c r="L263" s="37">
        <f t="shared" si="12"/>
        <v>0.6</v>
      </c>
      <c r="M263" s="36">
        <f t="shared" si="13"/>
        <v>0</v>
      </c>
      <c r="N263" s="38">
        <f t="shared" si="14"/>
        <v>0</v>
      </c>
      <c r="O263" s="36">
        <v>382</v>
      </c>
      <c r="P263" s="44">
        <v>5.2329398148148147</v>
      </c>
      <c r="Q263" s="64">
        <v>0</v>
      </c>
      <c r="R263" s="64">
        <v>0</v>
      </c>
      <c r="S263" s="64">
        <v>0</v>
      </c>
    </row>
    <row r="264" spans="1:19" x14ac:dyDescent="0.35">
      <c r="A264" s="2" t="s">
        <v>496</v>
      </c>
      <c r="B264" s="2"/>
      <c r="C264" s="32"/>
      <c r="D264" s="2" t="s">
        <v>304</v>
      </c>
      <c r="E264" s="2" t="s">
        <v>420</v>
      </c>
      <c r="F264" s="36">
        <v>8</v>
      </c>
      <c r="G264" s="36"/>
      <c r="H264" s="36"/>
      <c r="I264" s="36">
        <v>8</v>
      </c>
      <c r="J264" s="36">
        <v>0</v>
      </c>
      <c r="K264" s="36">
        <v>0</v>
      </c>
      <c r="L264" s="37">
        <f t="shared" si="12"/>
        <v>0.4</v>
      </c>
      <c r="M264" s="36">
        <f t="shared" si="13"/>
        <v>0</v>
      </c>
      <c r="N264" s="38">
        <f t="shared" si="14"/>
        <v>0</v>
      </c>
      <c r="O264" s="36">
        <v>679</v>
      </c>
      <c r="P264" s="44">
        <v>3.8886458333333329</v>
      </c>
      <c r="Q264" s="64">
        <v>0</v>
      </c>
      <c r="R264" s="64">
        <v>0</v>
      </c>
      <c r="S264" s="64">
        <v>1</v>
      </c>
    </row>
    <row r="265" spans="1:19" x14ac:dyDescent="0.35">
      <c r="A265" s="2" t="s">
        <v>496</v>
      </c>
      <c r="B265" s="2"/>
      <c r="C265" s="32"/>
      <c r="D265" s="2" t="s">
        <v>305</v>
      </c>
      <c r="E265" s="2" t="s">
        <v>420</v>
      </c>
      <c r="F265" s="36">
        <v>0</v>
      </c>
      <c r="G265" s="36"/>
      <c r="H265" s="36"/>
      <c r="I265" s="36">
        <v>1</v>
      </c>
      <c r="J265" s="36">
        <v>0</v>
      </c>
      <c r="K265" s="36">
        <v>0</v>
      </c>
      <c r="L265" s="37">
        <f t="shared" si="12"/>
        <v>0.05</v>
      </c>
      <c r="M265" s="36">
        <f t="shared" si="13"/>
        <v>0</v>
      </c>
      <c r="N265" s="38">
        <f t="shared" si="14"/>
        <v>0</v>
      </c>
      <c r="O265" s="36">
        <v>3</v>
      </c>
      <c r="P265" s="44">
        <v>4.2962962962962967E-2</v>
      </c>
      <c r="Q265" s="64">
        <v>0</v>
      </c>
      <c r="R265" s="64">
        <v>0</v>
      </c>
      <c r="S265" s="64">
        <v>0</v>
      </c>
    </row>
    <row r="266" spans="1:19" x14ac:dyDescent="0.35">
      <c r="A266" s="2" t="s">
        <v>496</v>
      </c>
      <c r="B266" s="2"/>
      <c r="C266" s="32"/>
      <c r="D266" s="2" t="s">
        <v>306</v>
      </c>
      <c r="E266" s="2" t="s">
        <v>420</v>
      </c>
      <c r="F266" s="36">
        <v>3</v>
      </c>
      <c r="G266" s="36"/>
      <c r="H266" s="36"/>
      <c r="I266" s="36">
        <v>2</v>
      </c>
      <c r="J266" s="36">
        <v>2</v>
      </c>
      <c r="K266" s="36">
        <v>0</v>
      </c>
      <c r="L266" s="37">
        <f t="shared" si="12"/>
        <v>0.1</v>
      </c>
      <c r="M266" s="36">
        <f t="shared" si="13"/>
        <v>0</v>
      </c>
      <c r="N266" s="38">
        <f t="shared" si="14"/>
        <v>0</v>
      </c>
      <c r="O266" s="36">
        <v>728</v>
      </c>
      <c r="P266" s="44">
        <v>0</v>
      </c>
      <c r="Q266" s="64">
        <v>0</v>
      </c>
      <c r="R266" s="64">
        <v>0</v>
      </c>
      <c r="S266" s="64">
        <v>0</v>
      </c>
    </row>
    <row r="267" spans="1:19" x14ac:dyDescent="0.35">
      <c r="A267" s="2" t="s">
        <v>496</v>
      </c>
      <c r="B267" s="2"/>
      <c r="C267" s="32"/>
      <c r="D267" s="2" t="s">
        <v>307</v>
      </c>
      <c r="E267" s="2" t="s">
        <v>420</v>
      </c>
      <c r="F267" s="36">
        <v>0</v>
      </c>
      <c r="G267" s="36"/>
      <c r="H267" s="36"/>
      <c r="I267" s="36">
        <v>0</v>
      </c>
      <c r="J267" s="36">
        <v>0</v>
      </c>
      <c r="K267" s="36">
        <v>0</v>
      </c>
      <c r="L267" s="37">
        <f t="shared" si="12"/>
        <v>0</v>
      </c>
      <c r="M267" s="36">
        <f t="shared" si="13"/>
        <v>0</v>
      </c>
      <c r="N267" s="38">
        <f t="shared" si="14"/>
        <v>0</v>
      </c>
      <c r="O267" s="36">
        <v>60</v>
      </c>
      <c r="P267" s="44">
        <v>0.33028935185185188</v>
      </c>
      <c r="Q267" s="64">
        <v>2</v>
      </c>
      <c r="R267" s="64">
        <v>0</v>
      </c>
      <c r="S267" s="64">
        <v>2</v>
      </c>
    </row>
    <row r="268" spans="1:19" x14ac:dyDescent="0.35">
      <c r="A268" s="2" t="s">
        <v>496</v>
      </c>
      <c r="B268" s="2"/>
      <c r="C268" s="32"/>
      <c r="D268" s="2" t="s">
        <v>308</v>
      </c>
      <c r="E268" s="2" t="s">
        <v>420</v>
      </c>
      <c r="F268" s="36">
        <v>2</v>
      </c>
      <c r="G268" s="36"/>
      <c r="H268" s="36"/>
      <c r="I268" s="36">
        <v>3</v>
      </c>
      <c r="J268" s="36">
        <v>0</v>
      </c>
      <c r="K268" s="36">
        <v>0</v>
      </c>
      <c r="L268" s="37">
        <f t="shared" si="12"/>
        <v>0.15</v>
      </c>
      <c r="M268" s="36">
        <f t="shared" si="13"/>
        <v>0</v>
      </c>
      <c r="N268" s="38">
        <f t="shared" si="14"/>
        <v>0</v>
      </c>
      <c r="O268" s="36">
        <v>841</v>
      </c>
      <c r="P268" s="44">
        <v>2.4650694444444441</v>
      </c>
      <c r="Q268" s="64">
        <v>0</v>
      </c>
      <c r="R268" s="64">
        <v>0</v>
      </c>
      <c r="S268" s="64">
        <v>0</v>
      </c>
    </row>
    <row r="269" spans="1:19" x14ac:dyDescent="0.35">
      <c r="A269" s="2" t="s">
        <v>496</v>
      </c>
      <c r="B269" s="2"/>
      <c r="C269" s="32"/>
      <c r="D269" s="2" t="s">
        <v>309</v>
      </c>
      <c r="E269" s="2" t="s">
        <v>420</v>
      </c>
      <c r="F269" s="36">
        <v>9</v>
      </c>
      <c r="G269" s="36"/>
      <c r="H269" s="36"/>
      <c r="I269" s="36">
        <v>8</v>
      </c>
      <c r="J269" s="36">
        <v>1</v>
      </c>
      <c r="K269" s="36">
        <v>0</v>
      </c>
      <c r="L269" s="37">
        <f t="shared" si="12"/>
        <v>0.4</v>
      </c>
      <c r="M269" s="36">
        <f t="shared" si="13"/>
        <v>0</v>
      </c>
      <c r="N269" s="38">
        <f t="shared" si="14"/>
        <v>0</v>
      </c>
      <c r="O269" s="36">
        <v>893</v>
      </c>
      <c r="P269" s="44">
        <v>5.4211805555555559</v>
      </c>
      <c r="Q269" s="64">
        <v>0</v>
      </c>
      <c r="R269" s="64">
        <v>0</v>
      </c>
      <c r="S269" s="64">
        <v>0</v>
      </c>
    </row>
    <row r="270" spans="1:19" x14ac:dyDescent="0.35">
      <c r="A270" s="2" t="s">
        <v>496</v>
      </c>
      <c r="B270" s="2"/>
      <c r="C270" s="32"/>
      <c r="D270" s="2" t="s">
        <v>310</v>
      </c>
      <c r="E270" s="2" t="s">
        <v>420</v>
      </c>
      <c r="F270" s="36">
        <v>1</v>
      </c>
      <c r="G270" s="36"/>
      <c r="H270" s="36"/>
      <c r="I270" s="36">
        <v>0</v>
      </c>
      <c r="J270" s="36">
        <v>0</v>
      </c>
      <c r="K270" s="36">
        <v>0</v>
      </c>
      <c r="L270" s="37">
        <f t="shared" si="12"/>
        <v>0</v>
      </c>
      <c r="M270" s="36">
        <f t="shared" si="13"/>
        <v>0</v>
      </c>
      <c r="N270" s="38">
        <f t="shared" si="14"/>
        <v>0</v>
      </c>
      <c r="O270" s="36">
        <v>530</v>
      </c>
      <c r="P270" s="44">
        <v>4.3226504629629625</v>
      </c>
      <c r="Q270" s="64">
        <v>0</v>
      </c>
      <c r="R270" s="64">
        <v>0</v>
      </c>
      <c r="S270" s="64">
        <v>0</v>
      </c>
    </row>
    <row r="271" spans="1:19" x14ac:dyDescent="0.35">
      <c r="A271" s="2" t="s">
        <v>496</v>
      </c>
      <c r="B271" s="2"/>
      <c r="C271" s="32"/>
      <c r="D271" s="2" t="s">
        <v>311</v>
      </c>
      <c r="E271" s="2" t="s">
        <v>420</v>
      </c>
      <c r="F271" s="36">
        <v>2</v>
      </c>
      <c r="G271" s="36"/>
      <c r="H271" s="36"/>
      <c r="I271" s="36">
        <v>2</v>
      </c>
      <c r="J271" s="36">
        <v>0</v>
      </c>
      <c r="K271" s="36">
        <v>0</v>
      </c>
      <c r="L271" s="37">
        <f t="shared" si="12"/>
        <v>0.1</v>
      </c>
      <c r="M271" s="36">
        <f t="shared" si="13"/>
        <v>0</v>
      </c>
      <c r="N271" s="38">
        <f t="shared" si="14"/>
        <v>0</v>
      </c>
      <c r="O271" s="36">
        <v>960</v>
      </c>
      <c r="P271" s="44">
        <v>4.8872337962962966</v>
      </c>
      <c r="Q271" s="64">
        <v>0</v>
      </c>
      <c r="R271" s="64">
        <v>0</v>
      </c>
      <c r="S271" s="64">
        <v>0</v>
      </c>
    </row>
    <row r="272" spans="1:19" x14ac:dyDescent="0.35">
      <c r="A272" s="2" t="s">
        <v>497</v>
      </c>
      <c r="B272" s="2"/>
      <c r="C272" s="32"/>
      <c r="D272" s="2" t="s">
        <v>312</v>
      </c>
      <c r="E272" s="2" t="s">
        <v>420</v>
      </c>
      <c r="F272" s="36">
        <v>0</v>
      </c>
      <c r="G272" s="36"/>
      <c r="H272" s="36"/>
      <c r="I272" s="36">
        <v>0</v>
      </c>
      <c r="J272" s="36">
        <v>0</v>
      </c>
      <c r="K272" s="36">
        <v>0</v>
      </c>
      <c r="L272" s="37">
        <f t="shared" si="12"/>
        <v>0</v>
      </c>
      <c r="M272" s="36">
        <f t="shared" si="13"/>
        <v>0</v>
      </c>
      <c r="N272" s="38">
        <f t="shared" si="14"/>
        <v>0</v>
      </c>
      <c r="O272" s="36">
        <v>33</v>
      </c>
      <c r="P272" s="44">
        <v>2.8615972222222226</v>
      </c>
      <c r="Q272" s="64">
        <v>0</v>
      </c>
      <c r="R272" s="64">
        <v>0</v>
      </c>
      <c r="S272" s="64">
        <v>0</v>
      </c>
    </row>
    <row r="273" spans="1:19" x14ac:dyDescent="0.35">
      <c r="A273" s="2" t="s">
        <v>497</v>
      </c>
      <c r="B273" s="2"/>
      <c r="C273" s="32"/>
      <c r="D273" s="2" t="s">
        <v>313</v>
      </c>
      <c r="E273" s="2" t="s">
        <v>420</v>
      </c>
      <c r="F273" s="36">
        <v>20</v>
      </c>
      <c r="G273" s="36"/>
      <c r="H273" s="36"/>
      <c r="I273" s="36">
        <v>20</v>
      </c>
      <c r="J273" s="36">
        <v>0</v>
      </c>
      <c r="K273" s="36">
        <v>1</v>
      </c>
      <c r="L273" s="37">
        <f t="shared" si="12"/>
        <v>1</v>
      </c>
      <c r="M273" s="36">
        <f t="shared" si="13"/>
        <v>1</v>
      </c>
      <c r="N273" s="38">
        <f t="shared" si="14"/>
        <v>20</v>
      </c>
      <c r="O273" s="36">
        <v>331</v>
      </c>
      <c r="P273" s="44">
        <v>4.7866898148148156</v>
      </c>
      <c r="Q273" s="64">
        <v>1</v>
      </c>
      <c r="R273" s="64">
        <v>2</v>
      </c>
      <c r="S273" s="64">
        <v>1</v>
      </c>
    </row>
    <row r="274" spans="1:19" x14ac:dyDescent="0.35">
      <c r="A274" s="2" t="s">
        <v>497</v>
      </c>
      <c r="B274" s="2"/>
      <c r="C274" s="32"/>
      <c r="D274" s="2" t="s">
        <v>314</v>
      </c>
      <c r="E274" s="2" t="s">
        <v>420</v>
      </c>
      <c r="F274" s="36">
        <v>5</v>
      </c>
      <c r="G274" s="36"/>
      <c r="H274" s="36"/>
      <c r="I274" s="36">
        <v>5</v>
      </c>
      <c r="J274" s="36">
        <v>0</v>
      </c>
      <c r="K274" s="36">
        <v>0</v>
      </c>
      <c r="L274" s="37">
        <f t="shared" si="12"/>
        <v>0.25</v>
      </c>
      <c r="M274" s="36">
        <f t="shared" si="13"/>
        <v>0</v>
      </c>
      <c r="N274" s="38">
        <f t="shared" si="14"/>
        <v>0</v>
      </c>
      <c r="O274" s="36">
        <v>294</v>
      </c>
      <c r="P274" s="44">
        <v>5.1657523148148137</v>
      </c>
      <c r="Q274" s="64">
        <v>1</v>
      </c>
      <c r="R274" s="64">
        <v>2</v>
      </c>
      <c r="S274" s="64">
        <v>0</v>
      </c>
    </row>
    <row r="275" spans="1:19" x14ac:dyDescent="0.35">
      <c r="A275" s="2" t="s">
        <v>497</v>
      </c>
      <c r="B275" s="2"/>
      <c r="C275" s="32"/>
      <c r="D275" s="2" t="s">
        <v>315</v>
      </c>
      <c r="E275" s="2" t="s">
        <v>420</v>
      </c>
      <c r="F275" s="36">
        <v>2</v>
      </c>
      <c r="G275" s="36"/>
      <c r="H275" s="36"/>
      <c r="I275" s="36">
        <v>2</v>
      </c>
      <c r="J275" s="36">
        <v>0</v>
      </c>
      <c r="K275" s="36">
        <v>0</v>
      </c>
      <c r="L275" s="37">
        <f t="shared" si="12"/>
        <v>0.1</v>
      </c>
      <c r="M275" s="36">
        <f t="shared" si="13"/>
        <v>0</v>
      </c>
      <c r="N275" s="38">
        <f t="shared" si="14"/>
        <v>0</v>
      </c>
      <c r="O275" s="36">
        <v>343</v>
      </c>
      <c r="P275" s="44">
        <v>4.4345717592592599</v>
      </c>
      <c r="Q275" s="64">
        <v>0</v>
      </c>
      <c r="R275" s="64">
        <v>1</v>
      </c>
      <c r="S275" s="64">
        <v>1</v>
      </c>
    </row>
    <row r="276" spans="1:19" x14ac:dyDescent="0.35">
      <c r="A276" s="2" t="s">
        <v>498</v>
      </c>
      <c r="B276" s="2"/>
      <c r="C276" s="32"/>
      <c r="D276" s="2" t="s">
        <v>316</v>
      </c>
      <c r="E276" s="2" t="s">
        <v>420</v>
      </c>
      <c r="F276" s="36">
        <v>0</v>
      </c>
      <c r="G276" s="36"/>
      <c r="H276" s="36"/>
      <c r="I276" s="36">
        <v>0</v>
      </c>
      <c r="J276" s="36">
        <v>0</v>
      </c>
      <c r="K276" s="36">
        <v>0</v>
      </c>
      <c r="L276" s="37">
        <f t="shared" si="12"/>
        <v>0</v>
      </c>
      <c r="M276" s="36">
        <f t="shared" si="13"/>
        <v>0</v>
      </c>
      <c r="N276" s="38">
        <f t="shared" si="14"/>
        <v>0</v>
      </c>
      <c r="O276" s="36">
        <v>0</v>
      </c>
      <c r="P276" s="44">
        <v>2.8310185185185185E-2</v>
      </c>
      <c r="Q276" s="64">
        <v>0</v>
      </c>
      <c r="R276" s="64">
        <v>0</v>
      </c>
      <c r="S276" s="64">
        <v>0</v>
      </c>
    </row>
    <row r="277" spans="1:19" x14ac:dyDescent="0.35">
      <c r="A277" s="2" t="s">
        <v>498</v>
      </c>
      <c r="B277" s="2"/>
      <c r="C277" s="32"/>
      <c r="D277" s="2" t="s">
        <v>317</v>
      </c>
      <c r="E277" s="2" t="s">
        <v>420</v>
      </c>
      <c r="F277" s="36">
        <v>9</v>
      </c>
      <c r="G277" s="36"/>
      <c r="H277" s="36"/>
      <c r="I277" s="36">
        <v>8</v>
      </c>
      <c r="J277" s="36">
        <v>0</v>
      </c>
      <c r="K277" s="36">
        <v>0</v>
      </c>
      <c r="L277" s="37">
        <f t="shared" si="12"/>
        <v>0.4</v>
      </c>
      <c r="M277" s="36">
        <f t="shared" si="13"/>
        <v>0</v>
      </c>
      <c r="N277" s="38">
        <f t="shared" si="14"/>
        <v>0</v>
      </c>
      <c r="O277" s="36">
        <v>331</v>
      </c>
      <c r="P277" s="44">
        <v>4.9720138888888883</v>
      </c>
      <c r="Q277" s="64">
        <v>0</v>
      </c>
      <c r="R277" s="64">
        <v>0</v>
      </c>
      <c r="S277" s="64">
        <v>0</v>
      </c>
    </row>
    <row r="278" spans="1:19" x14ac:dyDescent="0.35">
      <c r="A278" s="2" t="s">
        <v>498</v>
      </c>
      <c r="B278" s="2"/>
      <c r="C278" s="32"/>
      <c r="D278" s="2" t="s">
        <v>318</v>
      </c>
      <c r="E278" s="2" t="s">
        <v>420</v>
      </c>
      <c r="F278" s="36">
        <v>14</v>
      </c>
      <c r="G278" s="36"/>
      <c r="H278" s="36"/>
      <c r="I278" s="36">
        <v>10</v>
      </c>
      <c r="J278" s="36">
        <v>3</v>
      </c>
      <c r="K278" s="36">
        <v>0</v>
      </c>
      <c r="L278" s="37">
        <f t="shared" si="12"/>
        <v>0.5</v>
      </c>
      <c r="M278" s="36">
        <f t="shared" si="13"/>
        <v>0</v>
      </c>
      <c r="N278" s="38">
        <f t="shared" si="14"/>
        <v>0</v>
      </c>
      <c r="O278" s="36">
        <v>142</v>
      </c>
      <c r="P278" s="44">
        <v>3.6925810185185184</v>
      </c>
      <c r="Q278" s="64">
        <v>0</v>
      </c>
      <c r="R278" s="64">
        <v>0</v>
      </c>
      <c r="S278" s="64">
        <v>0</v>
      </c>
    </row>
    <row r="279" spans="1:19" x14ac:dyDescent="0.35">
      <c r="A279" s="2" t="s">
        <v>499</v>
      </c>
      <c r="B279" s="2"/>
      <c r="C279" s="32"/>
      <c r="D279" s="2" t="s">
        <v>319</v>
      </c>
      <c r="E279" s="2" t="s">
        <v>420</v>
      </c>
      <c r="F279" s="36">
        <v>14</v>
      </c>
      <c r="G279" s="36"/>
      <c r="H279" s="36"/>
      <c r="I279" s="36">
        <v>11</v>
      </c>
      <c r="J279" s="36">
        <v>2</v>
      </c>
      <c r="K279" s="36">
        <v>0</v>
      </c>
      <c r="L279" s="37">
        <f t="shared" si="12"/>
        <v>0.55000000000000004</v>
      </c>
      <c r="M279" s="36">
        <f t="shared" si="13"/>
        <v>0</v>
      </c>
      <c r="N279" s="38">
        <f t="shared" si="14"/>
        <v>0</v>
      </c>
      <c r="O279" s="36">
        <v>562</v>
      </c>
      <c r="P279" s="44">
        <v>5.2948611111111106</v>
      </c>
      <c r="Q279" s="64">
        <v>1</v>
      </c>
      <c r="R279" s="64">
        <v>0</v>
      </c>
      <c r="S279" s="64">
        <v>0</v>
      </c>
    </row>
    <row r="280" spans="1:19" x14ac:dyDescent="0.35">
      <c r="A280" s="2" t="s">
        <v>499</v>
      </c>
      <c r="B280" s="2"/>
      <c r="C280" s="32"/>
      <c r="D280" s="2" t="s">
        <v>320</v>
      </c>
      <c r="E280" s="2" t="s">
        <v>420</v>
      </c>
      <c r="F280" s="36">
        <v>22</v>
      </c>
      <c r="G280" s="36"/>
      <c r="H280" s="36"/>
      <c r="I280" s="36">
        <v>22</v>
      </c>
      <c r="J280" s="36">
        <v>3</v>
      </c>
      <c r="K280" s="36">
        <v>1</v>
      </c>
      <c r="L280" s="37">
        <f t="shared" si="12"/>
        <v>1.1000000000000001</v>
      </c>
      <c r="M280" s="36">
        <f t="shared" si="13"/>
        <v>1</v>
      </c>
      <c r="N280" s="38">
        <f t="shared" si="14"/>
        <v>22</v>
      </c>
      <c r="O280" s="36">
        <v>86</v>
      </c>
      <c r="P280" s="44">
        <v>3.8953009259259255</v>
      </c>
      <c r="Q280" s="64">
        <v>0</v>
      </c>
      <c r="R280" s="64">
        <v>1</v>
      </c>
      <c r="S280" s="64">
        <v>0</v>
      </c>
    </row>
    <row r="281" spans="1:19" x14ac:dyDescent="0.35">
      <c r="A281" s="2" t="s">
        <v>499</v>
      </c>
      <c r="B281" s="2"/>
      <c r="C281" s="32"/>
      <c r="D281" s="2" t="s">
        <v>321</v>
      </c>
      <c r="E281" s="2" t="s">
        <v>420</v>
      </c>
      <c r="F281" s="36">
        <v>18</v>
      </c>
      <c r="G281" s="36"/>
      <c r="H281" s="36"/>
      <c r="I281" s="36">
        <v>14</v>
      </c>
      <c r="J281" s="36">
        <v>5</v>
      </c>
      <c r="K281" s="36">
        <v>2</v>
      </c>
      <c r="L281" s="37">
        <f t="shared" si="12"/>
        <v>0.7</v>
      </c>
      <c r="M281" s="36">
        <f t="shared" si="13"/>
        <v>2</v>
      </c>
      <c r="N281" s="38">
        <f t="shared" si="14"/>
        <v>7</v>
      </c>
      <c r="O281" s="36">
        <v>563</v>
      </c>
      <c r="P281" s="44">
        <v>4.6493287037037039</v>
      </c>
      <c r="Q281" s="64">
        <v>1</v>
      </c>
      <c r="R281" s="64">
        <v>0</v>
      </c>
      <c r="S281" s="64">
        <v>1</v>
      </c>
    </row>
    <row r="282" spans="1:19" x14ac:dyDescent="0.35">
      <c r="A282" s="2" t="s">
        <v>499</v>
      </c>
      <c r="B282" s="2"/>
      <c r="C282" s="32"/>
      <c r="D282" s="2" t="s">
        <v>322</v>
      </c>
      <c r="E282" s="2" t="s">
        <v>420</v>
      </c>
      <c r="F282" s="36">
        <v>0</v>
      </c>
      <c r="G282" s="36"/>
      <c r="H282" s="36"/>
      <c r="I282" s="36">
        <v>0</v>
      </c>
      <c r="J282" s="36">
        <v>0</v>
      </c>
      <c r="K282" s="36">
        <v>0</v>
      </c>
      <c r="L282" s="37">
        <f t="shared" si="12"/>
        <v>0</v>
      </c>
      <c r="M282" s="36">
        <f t="shared" si="13"/>
        <v>0</v>
      </c>
      <c r="N282" s="38">
        <f t="shared" si="14"/>
        <v>0</v>
      </c>
      <c r="O282" s="36">
        <v>4</v>
      </c>
      <c r="P282" s="44">
        <v>4.7843518518518513</v>
      </c>
      <c r="Q282" s="64">
        <v>0</v>
      </c>
      <c r="R282" s="64">
        <v>0</v>
      </c>
      <c r="S282" s="64">
        <v>0</v>
      </c>
    </row>
    <row r="283" spans="1:19" x14ac:dyDescent="0.35">
      <c r="A283" s="2" t="s">
        <v>499</v>
      </c>
      <c r="B283" s="2"/>
      <c r="C283" s="32"/>
      <c r="D283" s="2" t="s">
        <v>323</v>
      </c>
      <c r="E283" s="2" t="s">
        <v>420</v>
      </c>
      <c r="F283" s="36">
        <v>25</v>
      </c>
      <c r="G283" s="36"/>
      <c r="H283" s="36"/>
      <c r="I283" s="36">
        <v>21</v>
      </c>
      <c r="J283" s="36">
        <v>7</v>
      </c>
      <c r="K283" s="36">
        <v>1</v>
      </c>
      <c r="L283" s="37">
        <f t="shared" si="12"/>
        <v>1.05</v>
      </c>
      <c r="M283" s="36">
        <f t="shared" si="13"/>
        <v>1</v>
      </c>
      <c r="N283" s="38">
        <f t="shared" si="14"/>
        <v>21</v>
      </c>
      <c r="O283" s="36">
        <v>172</v>
      </c>
      <c r="P283" s="44">
        <v>5.3041666666666671</v>
      </c>
      <c r="Q283" s="64">
        <v>0</v>
      </c>
      <c r="R283" s="64">
        <v>0</v>
      </c>
      <c r="S283" s="64">
        <v>0</v>
      </c>
    </row>
    <row r="284" spans="1:19" x14ac:dyDescent="0.35">
      <c r="A284" s="2" t="s">
        <v>499</v>
      </c>
      <c r="B284" s="2"/>
      <c r="C284" s="32"/>
      <c r="D284" s="2" t="s">
        <v>324</v>
      </c>
      <c r="E284" s="2" t="s">
        <v>420</v>
      </c>
      <c r="F284" s="36">
        <v>22</v>
      </c>
      <c r="G284" s="36"/>
      <c r="H284" s="36"/>
      <c r="I284" s="36">
        <v>21</v>
      </c>
      <c r="J284" s="36">
        <v>3</v>
      </c>
      <c r="K284" s="36">
        <v>0</v>
      </c>
      <c r="L284" s="37">
        <f t="shared" si="12"/>
        <v>1.05</v>
      </c>
      <c r="M284" s="36">
        <f t="shared" si="13"/>
        <v>0</v>
      </c>
      <c r="N284" s="38">
        <f t="shared" si="14"/>
        <v>0</v>
      </c>
      <c r="O284" s="36">
        <v>229</v>
      </c>
      <c r="P284" s="44">
        <v>5.0795138888888891</v>
      </c>
      <c r="Q284" s="64">
        <v>0</v>
      </c>
      <c r="R284" s="64">
        <v>0</v>
      </c>
      <c r="S284" s="64">
        <v>1</v>
      </c>
    </row>
    <row r="285" spans="1:19" x14ac:dyDescent="0.35">
      <c r="A285" s="2" t="s">
        <v>499</v>
      </c>
      <c r="B285" s="2"/>
      <c r="C285" s="32"/>
      <c r="D285" s="2" t="s">
        <v>325</v>
      </c>
      <c r="E285" s="2" t="s">
        <v>420</v>
      </c>
      <c r="F285" s="36">
        <v>31</v>
      </c>
      <c r="G285" s="36"/>
      <c r="H285" s="36"/>
      <c r="I285" s="36">
        <v>23</v>
      </c>
      <c r="J285" s="36">
        <v>8</v>
      </c>
      <c r="K285" s="36">
        <v>0</v>
      </c>
      <c r="L285" s="37">
        <f t="shared" si="12"/>
        <v>1.1499999999999999</v>
      </c>
      <c r="M285" s="36">
        <f t="shared" si="13"/>
        <v>0</v>
      </c>
      <c r="N285" s="38">
        <f t="shared" si="14"/>
        <v>0</v>
      </c>
      <c r="O285" s="36">
        <v>665</v>
      </c>
      <c r="P285" s="44">
        <v>5.4501041666666676</v>
      </c>
      <c r="Q285" s="64">
        <v>0</v>
      </c>
      <c r="R285" s="64">
        <v>0</v>
      </c>
      <c r="S285" s="64">
        <v>0</v>
      </c>
    </row>
    <row r="286" spans="1:19" x14ac:dyDescent="0.35">
      <c r="A286" s="2" t="s">
        <v>499</v>
      </c>
      <c r="B286" s="2"/>
      <c r="C286" s="32"/>
      <c r="D286" s="2" t="s">
        <v>326</v>
      </c>
      <c r="E286" s="2" t="s">
        <v>420</v>
      </c>
      <c r="F286" s="36">
        <v>20</v>
      </c>
      <c r="G286" s="36"/>
      <c r="H286" s="36"/>
      <c r="I286" s="36">
        <v>19</v>
      </c>
      <c r="J286" s="36">
        <v>2</v>
      </c>
      <c r="K286" s="36">
        <v>0</v>
      </c>
      <c r="L286" s="37">
        <f t="shared" si="12"/>
        <v>0.95</v>
      </c>
      <c r="M286" s="36">
        <f t="shared" si="13"/>
        <v>0</v>
      </c>
      <c r="N286" s="38">
        <f t="shared" si="14"/>
        <v>0</v>
      </c>
      <c r="O286" s="36">
        <v>453</v>
      </c>
      <c r="P286" s="44">
        <v>4.6538425925925928</v>
      </c>
      <c r="Q286" s="64">
        <v>0</v>
      </c>
      <c r="R286" s="64">
        <v>0</v>
      </c>
      <c r="S286" s="64">
        <v>0</v>
      </c>
    </row>
    <row r="287" spans="1:19" x14ac:dyDescent="0.35">
      <c r="A287" s="2" t="s">
        <v>500</v>
      </c>
      <c r="B287" s="2"/>
      <c r="C287" s="32"/>
      <c r="D287" s="2" t="s">
        <v>327</v>
      </c>
      <c r="E287" s="2" t="s">
        <v>420</v>
      </c>
      <c r="F287" s="36">
        <v>10</v>
      </c>
      <c r="G287" s="36"/>
      <c r="H287" s="36"/>
      <c r="I287" s="36">
        <v>8</v>
      </c>
      <c r="J287" s="36">
        <v>1</v>
      </c>
      <c r="K287" s="36">
        <v>0</v>
      </c>
      <c r="L287" s="37">
        <f t="shared" si="12"/>
        <v>0.4</v>
      </c>
      <c r="M287" s="36">
        <f t="shared" si="13"/>
        <v>0</v>
      </c>
      <c r="N287" s="38">
        <f t="shared" si="14"/>
        <v>0</v>
      </c>
      <c r="O287" s="36">
        <v>321</v>
      </c>
      <c r="P287" s="44">
        <v>3.5584953703703706</v>
      </c>
      <c r="Q287" s="64">
        <v>2</v>
      </c>
      <c r="R287" s="64">
        <v>0</v>
      </c>
      <c r="S287" s="64">
        <v>0</v>
      </c>
    </row>
    <row r="288" spans="1:19" x14ac:dyDescent="0.35">
      <c r="A288" s="2" t="s">
        <v>501</v>
      </c>
      <c r="B288" s="2"/>
      <c r="C288" s="32"/>
      <c r="D288" s="2" t="s">
        <v>328</v>
      </c>
      <c r="E288" s="2" t="s">
        <v>420</v>
      </c>
      <c r="F288" s="36">
        <v>26</v>
      </c>
      <c r="G288" s="36"/>
      <c r="H288" s="36"/>
      <c r="I288" s="36">
        <v>22</v>
      </c>
      <c r="J288" s="36">
        <v>6</v>
      </c>
      <c r="K288" s="36">
        <v>1</v>
      </c>
      <c r="L288" s="37">
        <f t="shared" si="12"/>
        <v>1.1000000000000001</v>
      </c>
      <c r="M288" s="36">
        <f t="shared" si="13"/>
        <v>1</v>
      </c>
      <c r="N288" s="38">
        <f t="shared" si="14"/>
        <v>22</v>
      </c>
      <c r="O288" s="36">
        <v>179</v>
      </c>
      <c r="P288" s="44">
        <v>4.9409143518518528</v>
      </c>
      <c r="Q288" s="64">
        <v>0</v>
      </c>
      <c r="R288" s="64">
        <v>0</v>
      </c>
      <c r="S288" s="64">
        <v>0</v>
      </c>
    </row>
    <row r="289" spans="1:19" x14ac:dyDescent="0.35">
      <c r="A289" s="2" t="s">
        <v>501</v>
      </c>
      <c r="B289" s="2"/>
      <c r="C289" s="32"/>
      <c r="D289" s="2" t="s">
        <v>45</v>
      </c>
      <c r="E289" s="2" t="s">
        <v>420</v>
      </c>
      <c r="F289" s="36">
        <v>0</v>
      </c>
      <c r="G289" s="36"/>
      <c r="H289" s="36"/>
      <c r="I289" s="36">
        <v>0</v>
      </c>
      <c r="J289" s="36">
        <v>0</v>
      </c>
      <c r="K289" s="36">
        <v>0</v>
      </c>
      <c r="L289" s="37">
        <f t="shared" si="12"/>
        <v>0</v>
      </c>
      <c r="M289" s="36">
        <f t="shared" si="13"/>
        <v>0</v>
      </c>
      <c r="N289" s="38">
        <f t="shared" si="14"/>
        <v>0</v>
      </c>
      <c r="O289" s="36">
        <v>0</v>
      </c>
      <c r="P289" s="44">
        <v>7.2141203703703721E-2</v>
      </c>
      <c r="Q289" s="64">
        <v>0</v>
      </c>
      <c r="R289" s="64">
        <v>0</v>
      </c>
      <c r="S289" s="64">
        <v>0</v>
      </c>
    </row>
    <row r="290" spans="1:19" x14ac:dyDescent="0.35">
      <c r="A290" s="2" t="s">
        <v>501</v>
      </c>
      <c r="B290" s="2"/>
      <c r="C290" s="32"/>
      <c r="D290" s="2" t="s">
        <v>46</v>
      </c>
      <c r="E290" s="2" t="s">
        <v>420</v>
      </c>
      <c r="F290" s="36">
        <v>23</v>
      </c>
      <c r="G290" s="36"/>
      <c r="H290" s="36"/>
      <c r="I290" s="36">
        <v>21</v>
      </c>
      <c r="J290" s="36">
        <v>7</v>
      </c>
      <c r="K290" s="36">
        <v>1</v>
      </c>
      <c r="L290" s="37">
        <f t="shared" si="12"/>
        <v>1.05</v>
      </c>
      <c r="M290" s="36">
        <f t="shared" si="13"/>
        <v>1</v>
      </c>
      <c r="N290" s="38">
        <f t="shared" si="14"/>
        <v>21</v>
      </c>
      <c r="O290" s="36">
        <v>315</v>
      </c>
      <c r="P290" s="44">
        <v>4.7771990740740744</v>
      </c>
      <c r="Q290" s="64">
        <v>0</v>
      </c>
      <c r="R290" s="64">
        <v>0</v>
      </c>
      <c r="S290" s="64">
        <v>2</v>
      </c>
    </row>
    <row r="291" spans="1:19" x14ac:dyDescent="0.35">
      <c r="A291" s="2" t="s">
        <v>502</v>
      </c>
      <c r="B291" s="2"/>
      <c r="C291" s="32"/>
      <c r="D291" s="2" t="s">
        <v>329</v>
      </c>
      <c r="E291" s="2" t="s">
        <v>420</v>
      </c>
      <c r="F291" s="36">
        <v>4</v>
      </c>
      <c r="G291" s="36"/>
      <c r="H291" s="36"/>
      <c r="I291" s="36">
        <v>4</v>
      </c>
      <c r="J291" s="36">
        <v>0</v>
      </c>
      <c r="K291" s="36">
        <v>0</v>
      </c>
      <c r="L291" s="37">
        <f t="shared" si="12"/>
        <v>0.2</v>
      </c>
      <c r="M291" s="36">
        <f t="shared" si="13"/>
        <v>0</v>
      </c>
      <c r="N291" s="38">
        <f t="shared" si="14"/>
        <v>0</v>
      </c>
      <c r="O291" s="36">
        <v>20</v>
      </c>
      <c r="P291" s="44">
        <v>3.6772569444444443</v>
      </c>
      <c r="Q291" s="64">
        <v>0</v>
      </c>
      <c r="R291" s="64">
        <v>0</v>
      </c>
      <c r="S291" s="64">
        <v>0</v>
      </c>
    </row>
    <row r="292" spans="1:19" x14ac:dyDescent="0.35">
      <c r="A292" s="2" t="s">
        <v>502</v>
      </c>
      <c r="B292" s="2"/>
      <c r="C292" s="32"/>
      <c r="D292" s="2" t="s">
        <v>330</v>
      </c>
      <c r="E292" s="2" t="s">
        <v>420</v>
      </c>
      <c r="F292" s="36">
        <v>6</v>
      </c>
      <c r="G292" s="36"/>
      <c r="H292" s="36"/>
      <c r="I292" s="36">
        <v>5</v>
      </c>
      <c r="J292" s="36">
        <v>0</v>
      </c>
      <c r="K292" s="36">
        <v>0</v>
      </c>
      <c r="L292" s="37">
        <f t="shared" si="12"/>
        <v>0.25</v>
      </c>
      <c r="M292" s="36">
        <f t="shared" si="13"/>
        <v>0</v>
      </c>
      <c r="N292" s="38">
        <f t="shared" si="14"/>
        <v>0</v>
      </c>
      <c r="O292" s="36">
        <v>424</v>
      </c>
      <c r="P292" s="44">
        <v>4.4879976851851859</v>
      </c>
      <c r="Q292" s="64">
        <v>0</v>
      </c>
      <c r="R292" s="64">
        <v>0</v>
      </c>
      <c r="S292" s="64">
        <v>0</v>
      </c>
    </row>
    <row r="293" spans="1:19" x14ac:dyDescent="0.35">
      <c r="A293" s="2" t="s">
        <v>502</v>
      </c>
      <c r="B293" s="2"/>
      <c r="C293" s="32"/>
      <c r="D293" s="2" t="s">
        <v>331</v>
      </c>
      <c r="E293" s="2" t="s">
        <v>420</v>
      </c>
      <c r="F293" s="36">
        <v>4</v>
      </c>
      <c r="G293" s="36"/>
      <c r="H293" s="36"/>
      <c r="I293" s="36">
        <v>3</v>
      </c>
      <c r="J293" s="36">
        <v>0</v>
      </c>
      <c r="K293" s="36">
        <v>0</v>
      </c>
      <c r="L293" s="37">
        <f t="shared" si="12"/>
        <v>0.15</v>
      </c>
      <c r="M293" s="36">
        <f t="shared" si="13"/>
        <v>0</v>
      </c>
      <c r="N293" s="38">
        <f t="shared" si="14"/>
        <v>0</v>
      </c>
      <c r="O293" s="36">
        <v>745</v>
      </c>
      <c r="P293" s="44">
        <v>4.9636921296296288</v>
      </c>
      <c r="Q293" s="64">
        <v>0</v>
      </c>
      <c r="R293" s="64">
        <v>0</v>
      </c>
      <c r="S293" s="64">
        <v>0</v>
      </c>
    </row>
    <row r="294" spans="1:19" x14ac:dyDescent="0.35">
      <c r="A294" s="2" t="s">
        <v>503</v>
      </c>
      <c r="B294" s="2"/>
      <c r="C294" s="32"/>
      <c r="D294" s="2" t="s">
        <v>332</v>
      </c>
      <c r="E294" s="2" t="s">
        <v>420</v>
      </c>
      <c r="F294" s="36">
        <v>5</v>
      </c>
      <c r="G294" s="36"/>
      <c r="H294" s="36"/>
      <c r="I294" s="36">
        <v>5</v>
      </c>
      <c r="J294" s="36">
        <v>2</v>
      </c>
      <c r="K294" s="36">
        <v>0</v>
      </c>
      <c r="L294" s="37">
        <f t="shared" si="12"/>
        <v>0.25</v>
      </c>
      <c r="M294" s="36">
        <f t="shared" si="13"/>
        <v>0</v>
      </c>
      <c r="N294" s="38">
        <f t="shared" si="14"/>
        <v>0</v>
      </c>
      <c r="O294" s="36">
        <v>41</v>
      </c>
      <c r="P294" s="44">
        <v>4.0807523148148155</v>
      </c>
      <c r="Q294" s="64">
        <v>0</v>
      </c>
      <c r="R294" s="64">
        <v>0</v>
      </c>
      <c r="S294" s="64">
        <v>0</v>
      </c>
    </row>
    <row r="295" spans="1:19" x14ac:dyDescent="0.35">
      <c r="A295" s="2" t="s">
        <v>504</v>
      </c>
      <c r="B295" s="2"/>
      <c r="C295" s="32"/>
      <c r="D295" s="2" t="s">
        <v>333</v>
      </c>
      <c r="E295" s="2" t="s">
        <v>420</v>
      </c>
      <c r="F295" s="36">
        <v>11</v>
      </c>
      <c r="G295" s="36"/>
      <c r="H295" s="36"/>
      <c r="I295" s="36">
        <v>9</v>
      </c>
      <c r="J295" s="36">
        <v>5</v>
      </c>
      <c r="K295" s="36">
        <v>0</v>
      </c>
      <c r="L295" s="37">
        <f t="shared" si="12"/>
        <v>0.45</v>
      </c>
      <c r="M295" s="36">
        <f t="shared" si="13"/>
        <v>0</v>
      </c>
      <c r="N295" s="38">
        <f t="shared" si="14"/>
        <v>0</v>
      </c>
      <c r="O295" s="36">
        <v>1043</v>
      </c>
      <c r="P295" s="44">
        <v>5.9358912037037026</v>
      </c>
      <c r="Q295" s="64">
        <v>1</v>
      </c>
      <c r="R295" s="64">
        <v>0</v>
      </c>
      <c r="S295" s="64">
        <v>0</v>
      </c>
    </row>
    <row r="296" spans="1:19" x14ac:dyDescent="0.35">
      <c r="A296" s="2" t="s">
        <v>504</v>
      </c>
      <c r="B296" s="2"/>
      <c r="C296" s="32"/>
      <c r="D296" s="2" t="s">
        <v>334</v>
      </c>
      <c r="E296" s="2" t="s">
        <v>420</v>
      </c>
      <c r="F296" s="36">
        <v>3</v>
      </c>
      <c r="G296" s="36"/>
      <c r="H296" s="36"/>
      <c r="I296" s="36">
        <v>0</v>
      </c>
      <c r="J296" s="36">
        <v>0</v>
      </c>
      <c r="K296" s="36">
        <v>0</v>
      </c>
      <c r="L296" s="37">
        <f t="shared" si="12"/>
        <v>0</v>
      </c>
      <c r="M296" s="36">
        <f t="shared" si="13"/>
        <v>0</v>
      </c>
      <c r="N296" s="38">
        <f t="shared" si="14"/>
        <v>0</v>
      </c>
      <c r="O296" s="36">
        <v>22</v>
      </c>
      <c r="P296" s="44">
        <v>1.9428009259259262</v>
      </c>
      <c r="Q296" s="64">
        <v>0</v>
      </c>
      <c r="R296" s="64">
        <v>0</v>
      </c>
      <c r="S296" s="64">
        <v>0</v>
      </c>
    </row>
    <row r="297" spans="1:19" x14ac:dyDescent="0.35">
      <c r="A297" s="2" t="s">
        <v>504</v>
      </c>
      <c r="B297" s="2"/>
      <c r="C297" s="32"/>
      <c r="D297" s="2" t="s">
        <v>335</v>
      </c>
      <c r="E297" s="2" t="s">
        <v>420</v>
      </c>
      <c r="F297" s="36">
        <v>7</v>
      </c>
      <c r="G297" s="36"/>
      <c r="H297" s="36"/>
      <c r="I297" s="36">
        <v>6</v>
      </c>
      <c r="J297" s="36">
        <v>2</v>
      </c>
      <c r="K297" s="36">
        <v>1</v>
      </c>
      <c r="L297" s="37">
        <f t="shared" si="12"/>
        <v>0.3</v>
      </c>
      <c r="M297" s="36">
        <f t="shared" si="13"/>
        <v>1</v>
      </c>
      <c r="N297" s="38">
        <f t="shared" si="14"/>
        <v>6</v>
      </c>
      <c r="O297" s="36">
        <v>779</v>
      </c>
      <c r="P297" s="44">
        <v>5.0833564814814816</v>
      </c>
      <c r="Q297" s="64">
        <v>0</v>
      </c>
      <c r="R297" s="64">
        <v>0</v>
      </c>
      <c r="S297" s="64">
        <v>0</v>
      </c>
    </row>
    <row r="298" spans="1:19" x14ac:dyDescent="0.35">
      <c r="A298" s="2" t="s">
        <v>504</v>
      </c>
      <c r="B298" s="2"/>
      <c r="C298" s="32"/>
      <c r="D298" s="2" t="s">
        <v>336</v>
      </c>
      <c r="E298" s="2" t="s">
        <v>420</v>
      </c>
      <c r="F298" s="36">
        <v>1</v>
      </c>
      <c r="G298" s="36"/>
      <c r="H298" s="36"/>
      <c r="I298" s="36">
        <v>1</v>
      </c>
      <c r="J298" s="36">
        <v>0</v>
      </c>
      <c r="K298" s="36">
        <v>0</v>
      </c>
      <c r="L298" s="37">
        <f t="shared" si="12"/>
        <v>0.05</v>
      </c>
      <c r="M298" s="36">
        <f t="shared" si="13"/>
        <v>0</v>
      </c>
      <c r="N298" s="38">
        <f t="shared" si="14"/>
        <v>0</v>
      </c>
      <c r="O298" s="36">
        <v>323</v>
      </c>
      <c r="P298" s="44">
        <v>0</v>
      </c>
      <c r="Q298" s="64">
        <v>0</v>
      </c>
      <c r="R298" s="64">
        <v>0</v>
      </c>
      <c r="S298" s="64">
        <v>0</v>
      </c>
    </row>
    <row r="299" spans="1:19" x14ac:dyDescent="0.35">
      <c r="A299" s="2" t="s">
        <v>505</v>
      </c>
      <c r="B299" s="2"/>
      <c r="C299" s="32"/>
      <c r="D299" s="2" t="s">
        <v>337</v>
      </c>
      <c r="E299" s="2" t="s">
        <v>420</v>
      </c>
      <c r="F299" s="36">
        <v>6</v>
      </c>
      <c r="G299" s="36"/>
      <c r="H299" s="36"/>
      <c r="I299" s="36">
        <v>5</v>
      </c>
      <c r="J299" s="36">
        <v>2</v>
      </c>
      <c r="K299" s="36">
        <v>0</v>
      </c>
      <c r="L299" s="37">
        <f t="shared" si="12"/>
        <v>0.25</v>
      </c>
      <c r="M299" s="36">
        <f t="shared" si="13"/>
        <v>0</v>
      </c>
      <c r="N299" s="38">
        <f t="shared" si="14"/>
        <v>0</v>
      </c>
      <c r="O299" s="36">
        <v>553</v>
      </c>
      <c r="P299" s="44">
        <v>4.8840625000000006</v>
      </c>
      <c r="Q299" s="64">
        <v>0</v>
      </c>
      <c r="R299" s="64">
        <v>1</v>
      </c>
      <c r="S299" s="64">
        <v>0</v>
      </c>
    </row>
    <row r="300" spans="1:19" x14ac:dyDescent="0.35">
      <c r="A300" s="2" t="s">
        <v>505</v>
      </c>
      <c r="B300" s="2"/>
      <c r="C300" s="32"/>
      <c r="D300" s="2" t="s">
        <v>338</v>
      </c>
      <c r="E300" s="2" t="s">
        <v>420</v>
      </c>
      <c r="F300" s="36">
        <v>0</v>
      </c>
      <c r="G300" s="36"/>
      <c r="H300" s="36"/>
      <c r="I300" s="36">
        <v>0</v>
      </c>
      <c r="J300" s="36">
        <v>0</v>
      </c>
      <c r="K300" s="36">
        <v>0</v>
      </c>
      <c r="L300" s="37">
        <f t="shared" si="12"/>
        <v>0</v>
      </c>
      <c r="M300" s="36">
        <f t="shared" si="13"/>
        <v>0</v>
      </c>
      <c r="N300" s="38">
        <f t="shared" si="14"/>
        <v>0</v>
      </c>
      <c r="O300" s="36">
        <v>0</v>
      </c>
      <c r="P300" s="44">
        <v>0</v>
      </c>
      <c r="Q300" s="64">
        <v>0</v>
      </c>
      <c r="R300" s="64">
        <v>0</v>
      </c>
      <c r="S300" s="64">
        <v>0</v>
      </c>
    </row>
    <row r="301" spans="1:19" x14ac:dyDescent="0.35">
      <c r="A301" s="2" t="s">
        <v>505</v>
      </c>
      <c r="B301" s="2"/>
      <c r="C301" s="32"/>
      <c r="D301" s="2" t="s">
        <v>339</v>
      </c>
      <c r="E301" s="2" t="s">
        <v>420</v>
      </c>
      <c r="F301" s="36">
        <v>15</v>
      </c>
      <c r="G301" s="36"/>
      <c r="H301" s="36"/>
      <c r="I301" s="36">
        <v>13</v>
      </c>
      <c r="J301" s="36">
        <v>3</v>
      </c>
      <c r="K301" s="36">
        <v>0</v>
      </c>
      <c r="L301" s="37">
        <f t="shared" si="12"/>
        <v>0.65</v>
      </c>
      <c r="M301" s="36">
        <f t="shared" si="13"/>
        <v>0</v>
      </c>
      <c r="N301" s="38">
        <f t="shared" si="14"/>
        <v>0</v>
      </c>
      <c r="O301" s="36">
        <v>142</v>
      </c>
      <c r="P301" s="44">
        <v>5.2479745370370381</v>
      </c>
      <c r="Q301" s="64">
        <v>0</v>
      </c>
      <c r="R301" s="64">
        <v>0</v>
      </c>
      <c r="S301" s="64">
        <v>1</v>
      </c>
    </row>
    <row r="302" spans="1:19" x14ac:dyDescent="0.35">
      <c r="A302" s="2" t="s">
        <v>505</v>
      </c>
      <c r="B302" s="2"/>
      <c r="C302" s="32"/>
      <c r="D302" s="2" t="s">
        <v>340</v>
      </c>
      <c r="E302" s="2" t="s">
        <v>420</v>
      </c>
      <c r="F302" s="36">
        <v>16</v>
      </c>
      <c r="G302" s="36"/>
      <c r="H302" s="36"/>
      <c r="I302" s="36">
        <v>12</v>
      </c>
      <c r="J302" s="36">
        <v>6</v>
      </c>
      <c r="K302" s="36">
        <v>0</v>
      </c>
      <c r="L302" s="37">
        <f t="shared" si="12"/>
        <v>0.6</v>
      </c>
      <c r="M302" s="36">
        <f t="shared" si="13"/>
        <v>0</v>
      </c>
      <c r="N302" s="38">
        <f t="shared" si="14"/>
        <v>0</v>
      </c>
      <c r="O302" s="36">
        <v>422</v>
      </c>
      <c r="P302" s="44">
        <v>5.3284490740740758</v>
      </c>
      <c r="Q302" s="64">
        <v>0</v>
      </c>
      <c r="R302" s="64">
        <v>0</v>
      </c>
      <c r="S302" s="64">
        <v>0</v>
      </c>
    </row>
    <row r="303" spans="1:19" x14ac:dyDescent="0.35">
      <c r="A303" s="2" t="s">
        <v>506</v>
      </c>
      <c r="B303" s="2"/>
      <c r="C303" s="32"/>
      <c r="D303" s="2" t="s">
        <v>341</v>
      </c>
      <c r="E303" s="2" t="s">
        <v>421</v>
      </c>
      <c r="F303" s="36">
        <v>5</v>
      </c>
      <c r="G303" s="36"/>
      <c r="H303" s="36"/>
      <c r="I303" s="36">
        <v>2</v>
      </c>
      <c r="J303" s="36">
        <v>1</v>
      </c>
      <c r="K303" s="36">
        <v>0</v>
      </c>
      <c r="L303" s="37">
        <f t="shared" si="12"/>
        <v>0.1</v>
      </c>
      <c r="M303" s="36">
        <f t="shared" si="13"/>
        <v>0</v>
      </c>
      <c r="N303" s="38">
        <f t="shared" si="14"/>
        <v>0</v>
      </c>
      <c r="O303" s="36">
        <v>53</v>
      </c>
      <c r="P303" s="44">
        <v>3.8594097222222219</v>
      </c>
      <c r="Q303" s="64">
        <v>0</v>
      </c>
      <c r="R303" s="64">
        <v>0</v>
      </c>
      <c r="S303" s="64">
        <v>1</v>
      </c>
    </row>
    <row r="304" spans="1:19" x14ac:dyDescent="0.35">
      <c r="A304" s="2" t="s">
        <v>506</v>
      </c>
      <c r="B304" s="2"/>
      <c r="C304" s="32"/>
      <c r="D304" s="2" t="s">
        <v>342</v>
      </c>
      <c r="E304" s="2" t="s">
        <v>421</v>
      </c>
      <c r="F304" s="36">
        <v>16</v>
      </c>
      <c r="G304" s="36"/>
      <c r="H304" s="36"/>
      <c r="I304" s="36">
        <v>16</v>
      </c>
      <c r="J304" s="36">
        <v>1</v>
      </c>
      <c r="K304" s="36">
        <v>0</v>
      </c>
      <c r="L304" s="37">
        <f t="shared" si="12"/>
        <v>0.8</v>
      </c>
      <c r="M304" s="36">
        <f t="shared" si="13"/>
        <v>0</v>
      </c>
      <c r="N304" s="38">
        <f t="shared" si="14"/>
        <v>0</v>
      </c>
      <c r="O304" s="36">
        <v>170</v>
      </c>
      <c r="P304" s="44">
        <v>5.1820601851851853</v>
      </c>
      <c r="Q304" s="64">
        <v>2</v>
      </c>
      <c r="R304" s="64">
        <v>1</v>
      </c>
      <c r="S304" s="64">
        <v>2</v>
      </c>
    </row>
    <row r="305" spans="1:19" x14ac:dyDescent="0.35">
      <c r="A305" s="2" t="s">
        <v>506</v>
      </c>
      <c r="B305" s="2"/>
      <c r="C305" s="32"/>
      <c r="D305" s="2" t="s">
        <v>343</v>
      </c>
      <c r="E305" s="2" t="s">
        <v>421</v>
      </c>
      <c r="F305" s="36">
        <v>20</v>
      </c>
      <c r="G305" s="36"/>
      <c r="H305" s="36"/>
      <c r="I305" s="36">
        <v>20</v>
      </c>
      <c r="J305" s="36">
        <v>4</v>
      </c>
      <c r="K305" s="36">
        <v>0</v>
      </c>
      <c r="L305" s="37">
        <f t="shared" si="12"/>
        <v>1</v>
      </c>
      <c r="M305" s="36">
        <f t="shared" si="13"/>
        <v>0</v>
      </c>
      <c r="N305" s="38">
        <f t="shared" si="14"/>
        <v>0</v>
      </c>
      <c r="O305" s="36">
        <v>140</v>
      </c>
      <c r="P305" s="44">
        <v>5.073078703703704</v>
      </c>
      <c r="Q305" s="64">
        <v>1</v>
      </c>
      <c r="R305" s="64">
        <v>3</v>
      </c>
      <c r="S305" s="64">
        <v>1</v>
      </c>
    </row>
    <row r="306" spans="1:19" x14ac:dyDescent="0.35">
      <c r="A306" s="2" t="s">
        <v>507</v>
      </c>
      <c r="B306" s="2"/>
      <c r="C306" s="32"/>
      <c r="D306" s="2" t="s">
        <v>344</v>
      </c>
      <c r="E306" s="2" t="s">
        <v>421</v>
      </c>
      <c r="F306" s="36">
        <v>11</v>
      </c>
      <c r="G306" s="36"/>
      <c r="H306" s="36"/>
      <c r="I306" s="36">
        <v>7</v>
      </c>
      <c r="J306" s="36">
        <v>1</v>
      </c>
      <c r="K306" s="36">
        <v>0</v>
      </c>
      <c r="L306" s="37">
        <f t="shared" si="12"/>
        <v>0.35</v>
      </c>
      <c r="M306" s="36">
        <f t="shared" si="13"/>
        <v>0</v>
      </c>
      <c r="N306" s="38">
        <f t="shared" si="14"/>
        <v>0</v>
      </c>
      <c r="O306" s="36">
        <v>482</v>
      </c>
      <c r="P306" s="44">
        <v>5.6493055555555554</v>
      </c>
      <c r="Q306" s="64">
        <v>1</v>
      </c>
      <c r="R306" s="64">
        <v>0</v>
      </c>
      <c r="S306" s="64">
        <v>0</v>
      </c>
    </row>
    <row r="307" spans="1:19" x14ac:dyDescent="0.35">
      <c r="A307" s="2" t="s">
        <v>507</v>
      </c>
      <c r="B307" s="2"/>
      <c r="C307" s="32"/>
      <c r="D307" s="2" t="s">
        <v>345</v>
      </c>
      <c r="E307" s="2" t="s">
        <v>421</v>
      </c>
      <c r="F307" s="36">
        <v>21</v>
      </c>
      <c r="G307" s="36"/>
      <c r="H307" s="36"/>
      <c r="I307" s="36">
        <v>20</v>
      </c>
      <c r="J307" s="36">
        <v>4</v>
      </c>
      <c r="K307" s="36">
        <v>0</v>
      </c>
      <c r="L307" s="37">
        <f t="shared" si="12"/>
        <v>1</v>
      </c>
      <c r="M307" s="36">
        <f t="shared" si="13"/>
        <v>0</v>
      </c>
      <c r="N307" s="38">
        <f t="shared" si="14"/>
        <v>0</v>
      </c>
      <c r="O307" s="36">
        <v>465</v>
      </c>
      <c r="P307" s="44">
        <v>4.4645601851851859</v>
      </c>
      <c r="Q307" s="64">
        <v>2</v>
      </c>
      <c r="R307" s="64">
        <v>0</v>
      </c>
      <c r="S307" s="64">
        <v>0</v>
      </c>
    </row>
    <row r="308" spans="1:19" x14ac:dyDescent="0.35">
      <c r="A308" s="2" t="s">
        <v>507</v>
      </c>
      <c r="B308" s="2"/>
      <c r="C308" s="32"/>
      <c r="D308" s="2" t="s">
        <v>346</v>
      </c>
      <c r="E308" s="2" t="s">
        <v>421</v>
      </c>
      <c r="F308" s="36">
        <v>1</v>
      </c>
      <c r="G308" s="36"/>
      <c r="H308" s="36"/>
      <c r="I308" s="36">
        <v>0</v>
      </c>
      <c r="J308" s="36">
        <v>0</v>
      </c>
      <c r="K308" s="36">
        <v>0</v>
      </c>
      <c r="L308" s="37">
        <f t="shared" si="12"/>
        <v>0</v>
      </c>
      <c r="M308" s="36">
        <f t="shared" si="13"/>
        <v>0</v>
      </c>
      <c r="N308" s="38">
        <f t="shared" si="14"/>
        <v>0</v>
      </c>
      <c r="O308" s="36">
        <v>7</v>
      </c>
      <c r="P308" s="44">
        <v>1.6786226851851849</v>
      </c>
      <c r="Q308" s="64">
        <v>0</v>
      </c>
      <c r="R308" s="64">
        <v>0</v>
      </c>
      <c r="S308" s="64">
        <v>0</v>
      </c>
    </row>
    <row r="309" spans="1:19" x14ac:dyDescent="0.35">
      <c r="A309" s="2" t="s">
        <v>507</v>
      </c>
      <c r="B309" s="2"/>
      <c r="C309" s="32"/>
      <c r="D309" s="2" t="s">
        <v>347</v>
      </c>
      <c r="E309" s="2" t="s">
        <v>421</v>
      </c>
      <c r="F309" s="36">
        <v>17</v>
      </c>
      <c r="G309" s="36"/>
      <c r="H309" s="36"/>
      <c r="I309" s="36">
        <v>16</v>
      </c>
      <c r="J309" s="36">
        <v>3</v>
      </c>
      <c r="K309" s="36">
        <v>0</v>
      </c>
      <c r="L309" s="37">
        <f t="shared" si="12"/>
        <v>0.8</v>
      </c>
      <c r="M309" s="36">
        <f t="shared" si="13"/>
        <v>0</v>
      </c>
      <c r="N309" s="38">
        <f t="shared" si="14"/>
        <v>0</v>
      </c>
      <c r="O309" s="36">
        <v>446</v>
      </c>
      <c r="P309" s="44">
        <v>4.8499884259259263</v>
      </c>
      <c r="Q309" s="64">
        <v>1</v>
      </c>
      <c r="R309" s="64">
        <v>0</v>
      </c>
      <c r="S309" s="64">
        <v>0</v>
      </c>
    </row>
    <row r="310" spans="1:19" x14ac:dyDescent="0.35">
      <c r="A310" s="2" t="s">
        <v>507</v>
      </c>
      <c r="B310" s="2"/>
      <c r="C310" s="32"/>
      <c r="D310" s="2" t="s">
        <v>348</v>
      </c>
      <c r="E310" s="2" t="s">
        <v>421</v>
      </c>
      <c r="F310" s="36">
        <v>20</v>
      </c>
      <c r="G310" s="36"/>
      <c r="H310" s="36"/>
      <c r="I310" s="36">
        <v>18</v>
      </c>
      <c r="J310" s="36">
        <v>1</v>
      </c>
      <c r="K310" s="36">
        <v>0</v>
      </c>
      <c r="L310" s="37">
        <f t="shared" si="12"/>
        <v>0.9</v>
      </c>
      <c r="M310" s="36">
        <f t="shared" si="13"/>
        <v>0</v>
      </c>
      <c r="N310" s="38">
        <f t="shared" si="14"/>
        <v>0</v>
      </c>
      <c r="O310" s="36">
        <v>206</v>
      </c>
      <c r="P310" s="44">
        <v>5.5472337962962968</v>
      </c>
      <c r="Q310" s="64">
        <v>0</v>
      </c>
      <c r="R310" s="64">
        <v>0</v>
      </c>
      <c r="S310" s="64">
        <v>2</v>
      </c>
    </row>
    <row r="311" spans="1:19" x14ac:dyDescent="0.35">
      <c r="A311" s="2" t="s">
        <v>507</v>
      </c>
      <c r="B311" s="2"/>
      <c r="C311" s="32"/>
      <c r="D311" s="2" t="s">
        <v>349</v>
      </c>
      <c r="E311" s="2" t="s">
        <v>421</v>
      </c>
      <c r="F311" s="36">
        <v>25</v>
      </c>
      <c r="G311" s="36"/>
      <c r="H311" s="36"/>
      <c r="I311" s="36">
        <v>22</v>
      </c>
      <c r="J311" s="36">
        <v>3</v>
      </c>
      <c r="K311" s="36">
        <v>1</v>
      </c>
      <c r="L311" s="37">
        <f t="shared" si="12"/>
        <v>1.1000000000000001</v>
      </c>
      <c r="M311" s="36">
        <f t="shared" si="13"/>
        <v>1</v>
      </c>
      <c r="N311" s="38">
        <f t="shared" si="14"/>
        <v>22</v>
      </c>
      <c r="O311" s="36">
        <v>248</v>
      </c>
      <c r="P311" s="44">
        <v>5.5360300925925934</v>
      </c>
      <c r="Q311" s="64">
        <v>1</v>
      </c>
      <c r="R311" s="64">
        <v>0</v>
      </c>
      <c r="S311" s="64">
        <v>1</v>
      </c>
    </row>
    <row r="312" spans="1:19" x14ac:dyDescent="0.35">
      <c r="A312" s="2" t="s">
        <v>507</v>
      </c>
      <c r="B312" s="2"/>
      <c r="C312" s="32"/>
      <c r="D312" s="2" t="s">
        <v>350</v>
      </c>
      <c r="E312" s="2" t="s">
        <v>421</v>
      </c>
      <c r="F312" s="36">
        <v>12</v>
      </c>
      <c r="G312" s="36"/>
      <c r="H312" s="36"/>
      <c r="I312" s="36">
        <v>9</v>
      </c>
      <c r="J312" s="36">
        <v>1</v>
      </c>
      <c r="K312" s="36">
        <v>0</v>
      </c>
      <c r="L312" s="37">
        <f t="shared" si="12"/>
        <v>0.45</v>
      </c>
      <c r="M312" s="36">
        <f t="shared" si="13"/>
        <v>0</v>
      </c>
      <c r="N312" s="38">
        <f t="shared" si="14"/>
        <v>0</v>
      </c>
      <c r="O312" s="36">
        <v>436</v>
      </c>
      <c r="P312" s="44">
        <v>5.6384259259259251</v>
      </c>
      <c r="Q312" s="64">
        <v>0</v>
      </c>
      <c r="R312" s="64">
        <v>1</v>
      </c>
      <c r="S312" s="64">
        <v>0</v>
      </c>
    </row>
    <row r="313" spans="1:19" x14ac:dyDescent="0.35">
      <c r="A313" s="2" t="s">
        <v>508</v>
      </c>
      <c r="B313" s="2"/>
      <c r="C313" s="32"/>
      <c r="D313" s="2" t="s">
        <v>351</v>
      </c>
      <c r="E313" s="2" t="s">
        <v>421</v>
      </c>
      <c r="F313" s="36">
        <v>18</v>
      </c>
      <c r="G313" s="36"/>
      <c r="H313" s="36"/>
      <c r="I313" s="36">
        <v>14</v>
      </c>
      <c r="J313" s="36">
        <v>0</v>
      </c>
      <c r="K313" s="36">
        <v>0</v>
      </c>
      <c r="L313" s="37">
        <f t="shared" si="12"/>
        <v>0.7</v>
      </c>
      <c r="M313" s="36">
        <f t="shared" si="13"/>
        <v>0</v>
      </c>
      <c r="N313" s="38">
        <f t="shared" si="14"/>
        <v>0</v>
      </c>
      <c r="O313" s="36">
        <v>279</v>
      </c>
      <c r="P313" s="44">
        <v>5.4934143518518521</v>
      </c>
      <c r="Q313" s="64">
        <v>0</v>
      </c>
      <c r="R313" s="64">
        <v>0</v>
      </c>
      <c r="S313" s="64">
        <v>0</v>
      </c>
    </row>
    <row r="314" spans="1:19" x14ac:dyDescent="0.35">
      <c r="A314" s="2" t="s">
        <v>508</v>
      </c>
      <c r="B314" s="2"/>
      <c r="C314" s="32"/>
      <c r="D314" s="2" t="s">
        <v>352</v>
      </c>
      <c r="E314" s="2" t="s">
        <v>421</v>
      </c>
      <c r="F314" s="36">
        <v>3</v>
      </c>
      <c r="G314" s="36"/>
      <c r="H314" s="36"/>
      <c r="I314" s="36">
        <v>1</v>
      </c>
      <c r="J314" s="36">
        <v>0</v>
      </c>
      <c r="K314" s="36">
        <v>0</v>
      </c>
      <c r="L314" s="37">
        <f t="shared" si="12"/>
        <v>0.05</v>
      </c>
      <c r="M314" s="36">
        <f t="shared" si="13"/>
        <v>0</v>
      </c>
      <c r="N314" s="38">
        <f t="shared" si="14"/>
        <v>0</v>
      </c>
      <c r="O314" s="36">
        <v>11</v>
      </c>
      <c r="P314" s="44">
        <v>4.9558449074074078</v>
      </c>
      <c r="Q314" s="64">
        <v>0</v>
      </c>
      <c r="R314" s="64">
        <v>0</v>
      </c>
      <c r="S314" s="64">
        <v>0</v>
      </c>
    </row>
    <row r="315" spans="1:19" x14ac:dyDescent="0.35">
      <c r="A315" s="2" t="s">
        <v>508</v>
      </c>
      <c r="B315" s="2"/>
      <c r="C315" s="32"/>
      <c r="D315" s="2" t="s">
        <v>353</v>
      </c>
      <c r="E315" s="2" t="s">
        <v>421</v>
      </c>
      <c r="F315" s="36">
        <v>17</v>
      </c>
      <c r="G315" s="36"/>
      <c r="H315" s="36"/>
      <c r="I315" s="36">
        <v>13</v>
      </c>
      <c r="J315" s="36">
        <v>3</v>
      </c>
      <c r="K315" s="36">
        <v>0</v>
      </c>
      <c r="L315" s="37">
        <f t="shared" si="12"/>
        <v>0.65</v>
      </c>
      <c r="M315" s="36">
        <f t="shared" si="13"/>
        <v>0</v>
      </c>
      <c r="N315" s="38">
        <f t="shared" si="14"/>
        <v>0</v>
      </c>
      <c r="O315" s="36">
        <v>489</v>
      </c>
      <c r="P315" s="44">
        <v>5.1543749999999999</v>
      </c>
      <c r="Q315" s="64">
        <v>0</v>
      </c>
      <c r="R315" s="64">
        <v>0</v>
      </c>
      <c r="S315" s="64">
        <v>0</v>
      </c>
    </row>
    <row r="316" spans="1:19" x14ac:dyDescent="0.35">
      <c r="A316" s="2" t="s">
        <v>508</v>
      </c>
      <c r="B316" s="2"/>
      <c r="C316" s="32"/>
      <c r="D316" s="2" t="s">
        <v>354</v>
      </c>
      <c r="E316" s="2" t="s">
        <v>421</v>
      </c>
      <c r="F316" s="36">
        <v>29</v>
      </c>
      <c r="G316" s="36"/>
      <c r="H316" s="36"/>
      <c r="I316" s="36">
        <v>22</v>
      </c>
      <c r="J316" s="36">
        <v>4</v>
      </c>
      <c r="K316" s="36">
        <v>0</v>
      </c>
      <c r="L316" s="37">
        <f t="shared" si="12"/>
        <v>1.1000000000000001</v>
      </c>
      <c r="M316" s="36">
        <f t="shared" si="13"/>
        <v>0</v>
      </c>
      <c r="N316" s="38">
        <f t="shared" si="14"/>
        <v>0</v>
      </c>
      <c r="O316" s="36">
        <v>507</v>
      </c>
      <c r="P316" s="44">
        <v>5.4505787037037043</v>
      </c>
      <c r="Q316" s="64">
        <v>1</v>
      </c>
      <c r="R316" s="64">
        <v>1</v>
      </c>
      <c r="S316" s="64">
        <v>1</v>
      </c>
    </row>
    <row r="317" spans="1:19" x14ac:dyDescent="0.35">
      <c r="A317" s="2" t="s">
        <v>508</v>
      </c>
      <c r="B317" s="2"/>
      <c r="C317" s="32"/>
      <c r="D317" s="2" t="s">
        <v>355</v>
      </c>
      <c r="E317" s="2" t="s">
        <v>421</v>
      </c>
      <c r="F317" s="36">
        <v>21</v>
      </c>
      <c r="G317" s="36"/>
      <c r="H317" s="36"/>
      <c r="I317" s="36">
        <v>16</v>
      </c>
      <c r="J317" s="36">
        <v>5</v>
      </c>
      <c r="K317" s="36">
        <v>0</v>
      </c>
      <c r="L317" s="37">
        <f t="shared" si="12"/>
        <v>0.8</v>
      </c>
      <c r="M317" s="36">
        <f t="shared" si="13"/>
        <v>0</v>
      </c>
      <c r="N317" s="38">
        <f t="shared" si="14"/>
        <v>0</v>
      </c>
      <c r="O317" s="36">
        <v>352</v>
      </c>
      <c r="P317" s="44">
        <v>5.3404861111111099</v>
      </c>
      <c r="Q317" s="64">
        <v>0</v>
      </c>
      <c r="R317" s="64">
        <v>0</v>
      </c>
      <c r="S317" s="64">
        <v>0</v>
      </c>
    </row>
    <row r="318" spans="1:19" x14ac:dyDescent="0.35">
      <c r="A318" s="2" t="s">
        <v>508</v>
      </c>
      <c r="B318" s="2"/>
      <c r="C318" s="32"/>
      <c r="D318" s="2" t="s">
        <v>356</v>
      </c>
      <c r="E318" s="2" t="s">
        <v>421</v>
      </c>
      <c r="F318" s="36">
        <v>0</v>
      </c>
      <c r="G318" s="36"/>
      <c r="H318" s="36"/>
      <c r="I318" s="36">
        <v>0</v>
      </c>
      <c r="J318" s="36">
        <v>0</v>
      </c>
      <c r="K318" s="36">
        <v>0</v>
      </c>
      <c r="L318" s="37">
        <f t="shared" si="12"/>
        <v>0</v>
      </c>
      <c r="M318" s="36">
        <f t="shared" si="13"/>
        <v>0</v>
      </c>
      <c r="N318" s="38">
        <f t="shared" si="14"/>
        <v>0</v>
      </c>
      <c r="O318" s="36">
        <v>1</v>
      </c>
      <c r="P318" s="44">
        <v>0.5426157407407407</v>
      </c>
      <c r="Q318" s="64">
        <v>0</v>
      </c>
      <c r="R318" s="64">
        <v>0</v>
      </c>
      <c r="S318" s="64">
        <v>0</v>
      </c>
    </row>
    <row r="319" spans="1:19" x14ac:dyDescent="0.35">
      <c r="A319" s="2" t="s">
        <v>509</v>
      </c>
      <c r="B319" s="2"/>
      <c r="C319" s="32"/>
      <c r="D319" s="2" t="s">
        <v>357</v>
      </c>
      <c r="E319" s="2" t="s">
        <v>421</v>
      </c>
      <c r="F319" s="36">
        <v>8</v>
      </c>
      <c r="G319" s="36"/>
      <c r="H319" s="36"/>
      <c r="I319" s="36">
        <v>5</v>
      </c>
      <c r="J319" s="36">
        <v>4</v>
      </c>
      <c r="K319" s="36">
        <v>1</v>
      </c>
      <c r="L319" s="37">
        <f t="shared" si="12"/>
        <v>0.25</v>
      </c>
      <c r="M319" s="36">
        <f t="shared" si="13"/>
        <v>1</v>
      </c>
      <c r="N319" s="38">
        <f t="shared" si="14"/>
        <v>5</v>
      </c>
      <c r="O319" s="36">
        <v>67</v>
      </c>
      <c r="P319" s="44">
        <v>3.9118865740740731</v>
      </c>
      <c r="Q319" s="64">
        <v>0</v>
      </c>
      <c r="R319" s="64">
        <v>0</v>
      </c>
      <c r="S319" s="64">
        <v>1</v>
      </c>
    </row>
    <row r="320" spans="1:19" x14ac:dyDescent="0.35">
      <c r="A320" s="2" t="s">
        <v>509</v>
      </c>
      <c r="B320" s="2"/>
      <c r="C320" s="32"/>
      <c r="D320" s="2" t="s">
        <v>358</v>
      </c>
      <c r="E320" s="2" t="s">
        <v>421</v>
      </c>
      <c r="F320" s="36">
        <v>0</v>
      </c>
      <c r="G320" s="36"/>
      <c r="H320" s="36"/>
      <c r="I320" s="36">
        <v>0</v>
      </c>
      <c r="J320" s="36">
        <v>0</v>
      </c>
      <c r="K320" s="36">
        <v>0</v>
      </c>
      <c r="L320" s="37">
        <f t="shared" si="12"/>
        <v>0</v>
      </c>
      <c r="M320" s="36">
        <f t="shared" si="13"/>
        <v>0</v>
      </c>
      <c r="N320" s="38">
        <f t="shared" si="14"/>
        <v>0</v>
      </c>
      <c r="O320" s="36">
        <v>0</v>
      </c>
      <c r="P320" s="44">
        <v>0</v>
      </c>
      <c r="Q320" s="64">
        <v>1</v>
      </c>
      <c r="R320" s="64">
        <v>0</v>
      </c>
      <c r="S320" s="64">
        <v>0</v>
      </c>
    </row>
    <row r="321" spans="1:19" x14ac:dyDescent="0.35">
      <c r="A321" s="2" t="s">
        <v>509</v>
      </c>
      <c r="B321" s="2"/>
      <c r="C321" s="32"/>
      <c r="D321" s="2" t="s">
        <v>359</v>
      </c>
      <c r="E321" s="2" t="s">
        <v>421</v>
      </c>
      <c r="F321" s="36">
        <v>27</v>
      </c>
      <c r="G321" s="36"/>
      <c r="H321" s="36"/>
      <c r="I321" s="36">
        <v>23</v>
      </c>
      <c r="J321" s="36">
        <v>6</v>
      </c>
      <c r="K321" s="36">
        <v>0</v>
      </c>
      <c r="L321" s="37">
        <f t="shared" si="12"/>
        <v>1.1499999999999999</v>
      </c>
      <c r="M321" s="36">
        <f t="shared" si="13"/>
        <v>0</v>
      </c>
      <c r="N321" s="38">
        <f t="shared" si="14"/>
        <v>0</v>
      </c>
      <c r="O321" s="36">
        <v>506</v>
      </c>
      <c r="P321" s="44">
        <v>5.6587268518518528</v>
      </c>
      <c r="Q321" s="64">
        <v>2</v>
      </c>
      <c r="R321" s="64">
        <v>0</v>
      </c>
      <c r="S321" s="64">
        <v>0</v>
      </c>
    </row>
    <row r="322" spans="1:19" x14ac:dyDescent="0.35">
      <c r="A322" s="2" t="s">
        <v>509</v>
      </c>
      <c r="B322" s="2"/>
      <c r="C322" s="32"/>
      <c r="D322" s="2" t="s">
        <v>360</v>
      </c>
      <c r="E322" s="2" t="s">
        <v>421</v>
      </c>
      <c r="F322" s="36">
        <v>22</v>
      </c>
      <c r="G322" s="36"/>
      <c r="H322" s="36"/>
      <c r="I322" s="36">
        <v>15</v>
      </c>
      <c r="J322" s="36">
        <v>5</v>
      </c>
      <c r="K322" s="36">
        <v>0</v>
      </c>
      <c r="L322" s="37">
        <f t="shared" si="12"/>
        <v>0.75</v>
      </c>
      <c r="M322" s="36">
        <f t="shared" si="13"/>
        <v>0</v>
      </c>
      <c r="N322" s="38">
        <f t="shared" si="14"/>
        <v>0</v>
      </c>
      <c r="O322" s="36">
        <v>799</v>
      </c>
      <c r="P322" s="44">
        <v>5.07462962962963</v>
      </c>
      <c r="Q322" s="64">
        <v>0</v>
      </c>
      <c r="R322" s="64">
        <v>0</v>
      </c>
      <c r="S322" s="64">
        <v>0</v>
      </c>
    </row>
    <row r="323" spans="1:19" x14ac:dyDescent="0.35">
      <c r="A323" s="2" t="s">
        <v>509</v>
      </c>
      <c r="B323" s="2"/>
      <c r="C323" s="32"/>
      <c r="D323" s="2" t="s">
        <v>361</v>
      </c>
      <c r="E323" s="2" t="s">
        <v>421</v>
      </c>
      <c r="F323" s="36">
        <v>11</v>
      </c>
      <c r="G323" s="36"/>
      <c r="H323" s="36"/>
      <c r="I323" s="36">
        <v>8</v>
      </c>
      <c r="J323" s="36">
        <v>2</v>
      </c>
      <c r="K323" s="36">
        <v>0</v>
      </c>
      <c r="L323" s="37">
        <f t="shared" ref="L323:L326" si="15">I323/20</f>
        <v>0.4</v>
      </c>
      <c r="M323" s="36">
        <f t="shared" ref="M323:M326" si="16">K323</f>
        <v>0</v>
      </c>
      <c r="N323" s="38">
        <f t="shared" ref="N323:N326" si="17">IFERROR(I323/K323,0)</f>
        <v>0</v>
      </c>
      <c r="O323" s="36">
        <v>466</v>
      </c>
      <c r="P323" s="44">
        <v>4.204224537037037</v>
      </c>
      <c r="Q323" s="64">
        <v>0</v>
      </c>
      <c r="R323" s="64">
        <v>0</v>
      </c>
      <c r="S323" s="64">
        <v>0</v>
      </c>
    </row>
    <row r="324" spans="1:19" x14ac:dyDescent="0.35">
      <c r="A324" s="2" t="s">
        <v>510</v>
      </c>
      <c r="B324" s="2"/>
      <c r="C324" s="32"/>
      <c r="D324" s="2" t="s">
        <v>362</v>
      </c>
      <c r="E324" s="2" t="s">
        <v>421</v>
      </c>
      <c r="F324" s="36">
        <v>18</v>
      </c>
      <c r="G324" s="36"/>
      <c r="H324" s="36"/>
      <c r="I324" s="36">
        <v>12</v>
      </c>
      <c r="J324" s="36">
        <v>3</v>
      </c>
      <c r="K324" s="36">
        <v>0</v>
      </c>
      <c r="L324" s="37">
        <f t="shared" si="15"/>
        <v>0.6</v>
      </c>
      <c r="M324" s="36">
        <f t="shared" si="16"/>
        <v>0</v>
      </c>
      <c r="N324" s="38">
        <f t="shared" si="17"/>
        <v>0</v>
      </c>
      <c r="O324" s="36">
        <v>189</v>
      </c>
      <c r="P324" s="44">
        <v>5.1278009259259258</v>
      </c>
      <c r="Q324" s="64">
        <v>1</v>
      </c>
      <c r="R324" s="64">
        <v>0</v>
      </c>
      <c r="S324" s="64">
        <v>0</v>
      </c>
    </row>
    <row r="325" spans="1:19" x14ac:dyDescent="0.35">
      <c r="A325" s="2" t="s">
        <v>510</v>
      </c>
      <c r="B325" s="2"/>
      <c r="C325" s="32"/>
      <c r="D325" s="2" t="s">
        <v>363</v>
      </c>
      <c r="E325" s="2" t="s">
        <v>421</v>
      </c>
      <c r="F325" s="36">
        <v>4</v>
      </c>
      <c r="G325" s="36"/>
      <c r="H325" s="36"/>
      <c r="I325" s="36">
        <v>2</v>
      </c>
      <c r="J325" s="36">
        <v>0</v>
      </c>
      <c r="K325" s="36">
        <v>0</v>
      </c>
      <c r="L325" s="37">
        <f t="shared" si="15"/>
        <v>0.1</v>
      </c>
      <c r="M325" s="36">
        <f t="shared" si="16"/>
        <v>0</v>
      </c>
      <c r="N325" s="38">
        <f t="shared" si="17"/>
        <v>0</v>
      </c>
      <c r="O325" s="36">
        <v>146</v>
      </c>
      <c r="P325" s="44">
        <v>5.0783101851851846</v>
      </c>
      <c r="Q325" s="64">
        <v>0</v>
      </c>
      <c r="R325" s="64">
        <v>0</v>
      </c>
      <c r="S325" s="64">
        <v>0</v>
      </c>
    </row>
    <row r="326" spans="1:19" x14ac:dyDescent="0.35">
      <c r="A326" s="2" t="s">
        <v>511</v>
      </c>
      <c r="B326" s="2"/>
      <c r="C326" s="32"/>
      <c r="D326" s="2" t="s">
        <v>364</v>
      </c>
      <c r="E326" s="2" t="s">
        <v>421</v>
      </c>
      <c r="F326" s="36">
        <v>5</v>
      </c>
      <c r="G326" s="36"/>
      <c r="H326" s="36"/>
      <c r="I326" s="36">
        <v>2</v>
      </c>
      <c r="J326" s="36">
        <v>1</v>
      </c>
      <c r="K326" s="36">
        <v>0</v>
      </c>
      <c r="L326" s="37">
        <f t="shared" si="15"/>
        <v>0.1</v>
      </c>
      <c r="M326" s="36">
        <f t="shared" si="16"/>
        <v>0</v>
      </c>
      <c r="N326" s="38">
        <f t="shared" si="17"/>
        <v>0</v>
      </c>
      <c r="O326" s="36">
        <v>198</v>
      </c>
      <c r="P326" s="44">
        <v>1.4781365740740742</v>
      </c>
      <c r="Q326" s="64">
        <v>0</v>
      </c>
      <c r="R326" s="64">
        <v>0</v>
      </c>
      <c r="S326" s="64">
        <v>0</v>
      </c>
    </row>
    <row r="327" spans="1:19" x14ac:dyDescent="0.35">
      <c r="A327" s="45" t="s">
        <v>511</v>
      </c>
      <c r="B327" s="46"/>
      <c r="C327" s="32"/>
      <c r="D327" s="45" t="s">
        <v>365</v>
      </c>
      <c r="E327" s="45" t="s">
        <v>421</v>
      </c>
      <c r="F327" s="47">
        <v>24</v>
      </c>
      <c r="G327" s="47"/>
      <c r="H327" s="47"/>
      <c r="I327" s="47">
        <v>18</v>
      </c>
      <c r="J327" s="47">
        <v>5</v>
      </c>
      <c r="K327" s="47">
        <v>1</v>
      </c>
      <c r="L327" s="37">
        <f t="shared" ref="L327:L368" si="18">I327/20</f>
        <v>0.9</v>
      </c>
      <c r="M327" s="36">
        <f t="shared" ref="M327:M368" si="19">K327</f>
        <v>1</v>
      </c>
      <c r="N327" s="38">
        <f t="shared" ref="N327:N368" si="20">IFERROR(I327/K327,0)</f>
        <v>18</v>
      </c>
      <c r="O327" s="47">
        <v>257</v>
      </c>
      <c r="P327" s="45">
        <v>5.1904629629629637</v>
      </c>
      <c r="Q327" s="64">
        <v>0</v>
      </c>
      <c r="R327" s="64">
        <v>2</v>
      </c>
      <c r="S327" s="64">
        <v>2</v>
      </c>
    </row>
    <row r="328" spans="1:19" x14ac:dyDescent="0.35">
      <c r="A328" s="45" t="s">
        <v>511</v>
      </c>
      <c r="B328" s="46"/>
      <c r="C328" s="32"/>
      <c r="D328" s="45" t="s">
        <v>366</v>
      </c>
      <c r="E328" s="45" t="s">
        <v>421</v>
      </c>
      <c r="F328" s="47">
        <v>17</v>
      </c>
      <c r="G328" s="47"/>
      <c r="H328" s="47"/>
      <c r="I328" s="47">
        <v>13</v>
      </c>
      <c r="J328" s="47">
        <v>3</v>
      </c>
      <c r="K328" s="47">
        <v>0</v>
      </c>
      <c r="L328" s="37">
        <f t="shared" si="18"/>
        <v>0.65</v>
      </c>
      <c r="M328" s="36">
        <f t="shared" si="19"/>
        <v>0</v>
      </c>
      <c r="N328" s="38">
        <f t="shared" si="20"/>
        <v>0</v>
      </c>
      <c r="O328" s="47">
        <v>280</v>
      </c>
      <c r="P328" s="45">
        <v>4.4254745370370374</v>
      </c>
      <c r="Q328" s="64">
        <v>0</v>
      </c>
      <c r="R328" s="64">
        <v>1</v>
      </c>
      <c r="S328" s="64">
        <v>0</v>
      </c>
    </row>
    <row r="329" spans="1:19" x14ac:dyDescent="0.35">
      <c r="A329" s="45" t="s">
        <v>511</v>
      </c>
      <c r="B329" s="46"/>
      <c r="C329" s="32"/>
      <c r="D329" s="45" t="s">
        <v>367</v>
      </c>
      <c r="E329" s="45" t="s">
        <v>421</v>
      </c>
      <c r="F329" s="47">
        <v>0</v>
      </c>
      <c r="G329" s="47"/>
      <c r="H329" s="47"/>
      <c r="I329" s="47">
        <v>0</v>
      </c>
      <c r="J329" s="47">
        <v>0</v>
      </c>
      <c r="K329" s="47">
        <v>0</v>
      </c>
      <c r="L329" s="37">
        <f t="shared" si="18"/>
        <v>0</v>
      </c>
      <c r="M329" s="36">
        <f t="shared" si="19"/>
        <v>0</v>
      </c>
      <c r="N329" s="38">
        <f t="shared" si="20"/>
        <v>0</v>
      </c>
      <c r="O329" s="47">
        <v>0</v>
      </c>
      <c r="P329" s="45">
        <v>1.2179398148148148</v>
      </c>
      <c r="Q329" s="64">
        <v>0</v>
      </c>
      <c r="R329" s="64">
        <v>0</v>
      </c>
      <c r="S329" s="64">
        <v>0</v>
      </c>
    </row>
    <row r="330" spans="1:19" x14ac:dyDescent="0.35">
      <c r="A330" s="45" t="s">
        <v>511</v>
      </c>
      <c r="B330" s="46"/>
      <c r="C330" s="32"/>
      <c r="D330" s="45" t="s">
        <v>368</v>
      </c>
      <c r="E330" s="45" t="s">
        <v>421</v>
      </c>
      <c r="F330" s="47">
        <v>15</v>
      </c>
      <c r="G330" s="47"/>
      <c r="H330" s="47"/>
      <c r="I330" s="47">
        <v>14</v>
      </c>
      <c r="J330" s="47">
        <v>2</v>
      </c>
      <c r="K330" s="47">
        <v>1</v>
      </c>
      <c r="L330" s="37">
        <f t="shared" si="18"/>
        <v>0.7</v>
      </c>
      <c r="M330" s="36">
        <f t="shared" si="19"/>
        <v>1</v>
      </c>
      <c r="N330" s="38">
        <f t="shared" si="20"/>
        <v>14</v>
      </c>
      <c r="O330" s="47">
        <v>185</v>
      </c>
      <c r="P330" s="45">
        <v>4.8064930555555572</v>
      </c>
      <c r="Q330" s="64">
        <v>1</v>
      </c>
      <c r="R330" s="64">
        <v>0</v>
      </c>
      <c r="S330" s="64">
        <v>0</v>
      </c>
    </row>
    <row r="331" spans="1:19" x14ac:dyDescent="0.35">
      <c r="A331" s="45" t="s">
        <v>511</v>
      </c>
      <c r="B331" s="46"/>
      <c r="C331" s="32"/>
      <c r="D331" s="45" t="s">
        <v>369</v>
      </c>
      <c r="E331" s="45" t="s">
        <v>421</v>
      </c>
      <c r="F331" s="47">
        <v>18</v>
      </c>
      <c r="G331" s="47"/>
      <c r="H331" s="47"/>
      <c r="I331" s="47">
        <v>14</v>
      </c>
      <c r="J331" s="47">
        <v>0</v>
      </c>
      <c r="K331" s="47">
        <v>0</v>
      </c>
      <c r="L331" s="37">
        <f t="shared" si="18"/>
        <v>0.7</v>
      </c>
      <c r="M331" s="36">
        <f t="shared" si="19"/>
        <v>0</v>
      </c>
      <c r="N331" s="38">
        <f t="shared" si="20"/>
        <v>0</v>
      </c>
      <c r="O331" s="47">
        <v>295</v>
      </c>
      <c r="P331" s="45">
        <v>5.3165972222222218</v>
      </c>
      <c r="Q331" s="64">
        <v>0</v>
      </c>
      <c r="R331" s="64">
        <v>0</v>
      </c>
      <c r="S331" s="64">
        <v>0</v>
      </c>
    </row>
    <row r="332" spans="1:19" x14ac:dyDescent="0.35">
      <c r="A332" s="45" t="s">
        <v>511</v>
      </c>
      <c r="B332" s="46"/>
      <c r="C332" s="32"/>
      <c r="D332" s="45" t="s">
        <v>370</v>
      </c>
      <c r="E332" s="45" t="s">
        <v>421</v>
      </c>
      <c r="F332" s="47">
        <v>13</v>
      </c>
      <c r="G332" s="47"/>
      <c r="H332" s="47"/>
      <c r="I332" s="47">
        <v>12</v>
      </c>
      <c r="J332" s="47">
        <v>1</v>
      </c>
      <c r="K332" s="47">
        <v>0</v>
      </c>
      <c r="L332" s="37">
        <f t="shared" si="18"/>
        <v>0.6</v>
      </c>
      <c r="M332" s="36">
        <f t="shared" si="19"/>
        <v>0</v>
      </c>
      <c r="N332" s="38">
        <f t="shared" si="20"/>
        <v>0</v>
      </c>
      <c r="O332" s="47">
        <v>91</v>
      </c>
      <c r="P332" s="45">
        <v>3.1888078703703702</v>
      </c>
      <c r="Q332" s="64">
        <v>0</v>
      </c>
      <c r="R332" s="64">
        <v>0</v>
      </c>
      <c r="S332" s="64">
        <v>0</v>
      </c>
    </row>
    <row r="333" spans="1:19" x14ac:dyDescent="0.35">
      <c r="A333" s="45" t="s">
        <v>512</v>
      </c>
      <c r="B333" s="46"/>
      <c r="C333" s="32"/>
      <c r="D333" s="45" t="s">
        <v>371</v>
      </c>
      <c r="E333" s="45" t="s">
        <v>421</v>
      </c>
      <c r="F333" s="47">
        <v>14</v>
      </c>
      <c r="G333" s="47"/>
      <c r="H333" s="47"/>
      <c r="I333" s="47">
        <v>12</v>
      </c>
      <c r="J333" s="47">
        <v>1</v>
      </c>
      <c r="K333" s="47">
        <v>0</v>
      </c>
      <c r="L333" s="37">
        <f t="shared" si="18"/>
        <v>0.6</v>
      </c>
      <c r="M333" s="36">
        <f t="shared" si="19"/>
        <v>0</v>
      </c>
      <c r="N333" s="38">
        <f t="shared" si="20"/>
        <v>0</v>
      </c>
      <c r="O333" s="47">
        <v>75</v>
      </c>
      <c r="P333" s="45">
        <v>4.0492592592592587</v>
      </c>
      <c r="Q333" s="64">
        <v>0</v>
      </c>
      <c r="R333" s="64">
        <v>0</v>
      </c>
      <c r="S333" s="64">
        <v>1</v>
      </c>
    </row>
    <row r="334" spans="1:19" x14ac:dyDescent="0.35">
      <c r="A334" s="45" t="s">
        <v>512</v>
      </c>
      <c r="B334" s="46"/>
      <c r="C334" s="32"/>
      <c r="D334" s="45" t="s">
        <v>372</v>
      </c>
      <c r="E334" s="45" t="s">
        <v>421</v>
      </c>
      <c r="F334" s="47">
        <v>22</v>
      </c>
      <c r="G334" s="47"/>
      <c r="H334" s="47"/>
      <c r="I334" s="47">
        <v>16</v>
      </c>
      <c r="J334" s="47">
        <v>6</v>
      </c>
      <c r="K334" s="47">
        <v>1</v>
      </c>
      <c r="L334" s="37">
        <f t="shared" si="18"/>
        <v>0.8</v>
      </c>
      <c r="M334" s="36">
        <f t="shared" si="19"/>
        <v>1</v>
      </c>
      <c r="N334" s="38">
        <f t="shared" si="20"/>
        <v>16</v>
      </c>
      <c r="O334" s="47">
        <v>264</v>
      </c>
      <c r="P334" s="45">
        <v>5.2711689814814822</v>
      </c>
      <c r="Q334" s="64">
        <v>0</v>
      </c>
      <c r="R334" s="64">
        <v>2</v>
      </c>
      <c r="S334" s="64">
        <v>0</v>
      </c>
    </row>
    <row r="335" spans="1:19" x14ac:dyDescent="0.35">
      <c r="A335" s="45" t="s">
        <v>512</v>
      </c>
      <c r="B335" s="46"/>
      <c r="C335" s="32"/>
      <c r="D335" s="45" t="s">
        <v>373</v>
      </c>
      <c r="E335" s="45" t="s">
        <v>421</v>
      </c>
      <c r="F335" s="47">
        <v>19</v>
      </c>
      <c r="G335" s="47"/>
      <c r="H335" s="47"/>
      <c r="I335" s="47">
        <v>17</v>
      </c>
      <c r="J335" s="47">
        <v>4</v>
      </c>
      <c r="K335" s="47">
        <v>1</v>
      </c>
      <c r="L335" s="37">
        <f t="shared" si="18"/>
        <v>0.85</v>
      </c>
      <c r="M335" s="36">
        <f t="shared" si="19"/>
        <v>1</v>
      </c>
      <c r="N335" s="38">
        <f t="shared" si="20"/>
        <v>17</v>
      </c>
      <c r="O335" s="47">
        <v>203</v>
      </c>
      <c r="P335" s="45">
        <v>5.2927199074074069</v>
      </c>
      <c r="Q335" s="64">
        <v>0</v>
      </c>
      <c r="R335" s="64">
        <v>0</v>
      </c>
      <c r="S335" s="64">
        <v>1</v>
      </c>
    </row>
    <row r="336" spans="1:19" x14ac:dyDescent="0.35">
      <c r="A336" s="45" t="s">
        <v>512</v>
      </c>
      <c r="B336" s="46"/>
      <c r="C336" s="32"/>
      <c r="D336" s="45" t="s">
        <v>374</v>
      </c>
      <c r="E336" s="45" t="s">
        <v>421</v>
      </c>
      <c r="F336" s="47">
        <v>20</v>
      </c>
      <c r="G336" s="47"/>
      <c r="H336" s="47"/>
      <c r="I336" s="47">
        <v>19</v>
      </c>
      <c r="J336" s="47">
        <v>5</v>
      </c>
      <c r="K336" s="47">
        <v>0</v>
      </c>
      <c r="L336" s="37">
        <f t="shared" si="18"/>
        <v>0.95</v>
      </c>
      <c r="M336" s="36">
        <f t="shared" si="19"/>
        <v>0</v>
      </c>
      <c r="N336" s="38">
        <f t="shared" si="20"/>
        <v>0</v>
      </c>
      <c r="O336" s="47">
        <v>196</v>
      </c>
      <c r="P336" s="45">
        <v>4.672037037037037</v>
      </c>
      <c r="Q336" s="64">
        <v>1</v>
      </c>
      <c r="R336" s="64">
        <v>0</v>
      </c>
      <c r="S336" s="64">
        <v>0</v>
      </c>
    </row>
    <row r="337" spans="1:19" x14ac:dyDescent="0.35">
      <c r="A337" s="45" t="s">
        <v>512</v>
      </c>
      <c r="B337" s="46"/>
      <c r="C337" s="32"/>
      <c r="D337" s="45" t="s">
        <v>375</v>
      </c>
      <c r="E337" s="45" t="s">
        <v>421</v>
      </c>
      <c r="F337" s="47">
        <v>24</v>
      </c>
      <c r="G337" s="47"/>
      <c r="H337" s="47"/>
      <c r="I337" s="47">
        <v>19</v>
      </c>
      <c r="J337" s="47">
        <v>6</v>
      </c>
      <c r="K337" s="47">
        <v>1</v>
      </c>
      <c r="L337" s="37">
        <f t="shared" si="18"/>
        <v>0.95</v>
      </c>
      <c r="M337" s="36">
        <f t="shared" si="19"/>
        <v>1</v>
      </c>
      <c r="N337" s="38">
        <f t="shared" si="20"/>
        <v>19</v>
      </c>
      <c r="O337" s="47">
        <v>191</v>
      </c>
      <c r="P337" s="45">
        <v>4.5967129629629628</v>
      </c>
      <c r="Q337" s="64">
        <v>1</v>
      </c>
      <c r="R337" s="64">
        <v>0</v>
      </c>
      <c r="S337" s="64">
        <v>0</v>
      </c>
    </row>
    <row r="338" spans="1:19" x14ac:dyDescent="0.35">
      <c r="A338" s="45" t="s">
        <v>512</v>
      </c>
      <c r="B338" s="46"/>
      <c r="C338" s="32"/>
      <c r="D338" s="45" t="s">
        <v>376</v>
      </c>
      <c r="E338" s="45" t="s">
        <v>421</v>
      </c>
      <c r="F338" s="47">
        <v>0</v>
      </c>
      <c r="G338" s="47"/>
      <c r="H338" s="47"/>
      <c r="I338" s="47">
        <v>0</v>
      </c>
      <c r="J338" s="47">
        <v>0</v>
      </c>
      <c r="K338" s="47">
        <v>0</v>
      </c>
      <c r="L338" s="37">
        <f t="shared" si="18"/>
        <v>0</v>
      </c>
      <c r="M338" s="36">
        <f t="shared" si="19"/>
        <v>0</v>
      </c>
      <c r="N338" s="38">
        <f t="shared" si="20"/>
        <v>0</v>
      </c>
      <c r="O338" s="47">
        <v>6</v>
      </c>
      <c r="P338" s="45">
        <v>4.381956018518518</v>
      </c>
      <c r="Q338" s="64">
        <v>0</v>
      </c>
      <c r="R338" s="64">
        <v>0</v>
      </c>
      <c r="S338" s="64">
        <v>0</v>
      </c>
    </row>
    <row r="339" spans="1:19" x14ac:dyDescent="0.35">
      <c r="A339" s="45" t="s">
        <v>512</v>
      </c>
      <c r="B339" s="46"/>
      <c r="C339" s="32"/>
      <c r="D339" s="45" t="s">
        <v>377</v>
      </c>
      <c r="E339" s="45" t="s">
        <v>421</v>
      </c>
      <c r="F339" s="47">
        <v>12</v>
      </c>
      <c r="G339" s="47"/>
      <c r="H339" s="47"/>
      <c r="I339" s="47">
        <v>9</v>
      </c>
      <c r="J339" s="47">
        <v>1</v>
      </c>
      <c r="K339" s="47">
        <v>0</v>
      </c>
      <c r="L339" s="37">
        <f t="shared" si="18"/>
        <v>0.45</v>
      </c>
      <c r="M339" s="36">
        <f t="shared" si="19"/>
        <v>0</v>
      </c>
      <c r="N339" s="38">
        <f t="shared" si="20"/>
        <v>0</v>
      </c>
      <c r="O339" s="47">
        <v>349</v>
      </c>
      <c r="P339" s="45">
        <v>5.4867476851851844</v>
      </c>
      <c r="Q339" s="64">
        <v>0</v>
      </c>
      <c r="R339" s="64">
        <v>0</v>
      </c>
      <c r="S339" s="64">
        <v>0</v>
      </c>
    </row>
    <row r="340" spans="1:19" x14ac:dyDescent="0.35">
      <c r="A340" s="45" t="s">
        <v>512</v>
      </c>
      <c r="B340" s="46"/>
      <c r="C340" s="32"/>
      <c r="D340" s="45" t="s">
        <v>378</v>
      </c>
      <c r="E340" s="45" t="s">
        <v>421</v>
      </c>
      <c r="F340" s="47">
        <v>15</v>
      </c>
      <c r="G340" s="47"/>
      <c r="H340" s="47"/>
      <c r="I340" s="47">
        <v>13</v>
      </c>
      <c r="J340" s="47">
        <v>2</v>
      </c>
      <c r="K340" s="47">
        <v>1</v>
      </c>
      <c r="L340" s="37">
        <f t="shared" si="18"/>
        <v>0.65</v>
      </c>
      <c r="M340" s="36">
        <f t="shared" si="19"/>
        <v>1</v>
      </c>
      <c r="N340" s="38">
        <f t="shared" si="20"/>
        <v>13</v>
      </c>
      <c r="O340" s="47">
        <v>127</v>
      </c>
      <c r="P340" s="45">
        <v>5.0253009259259258</v>
      </c>
      <c r="Q340" s="64">
        <v>0</v>
      </c>
      <c r="R340" s="64">
        <v>2</v>
      </c>
      <c r="S340" s="64">
        <v>0</v>
      </c>
    </row>
    <row r="341" spans="1:19" x14ac:dyDescent="0.35">
      <c r="A341" s="45" t="s">
        <v>512</v>
      </c>
      <c r="B341" s="46"/>
      <c r="C341" s="32"/>
      <c r="D341" s="45" t="s">
        <v>379</v>
      </c>
      <c r="E341" s="45" t="s">
        <v>421</v>
      </c>
      <c r="F341" s="47">
        <v>15</v>
      </c>
      <c r="G341" s="47"/>
      <c r="H341" s="47"/>
      <c r="I341" s="47">
        <v>12</v>
      </c>
      <c r="J341" s="47">
        <v>4</v>
      </c>
      <c r="K341" s="47">
        <v>0</v>
      </c>
      <c r="L341" s="37">
        <f t="shared" si="18"/>
        <v>0.6</v>
      </c>
      <c r="M341" s="36">
        <f t="shared" si="19"/>
        <v>0</v>
      </c>
      <c r="N341" s="38">
        <f t="shared" si="20"/>
        <v>0</v>
      </c>
      <c r="O341" s="47">
        <v>167</v>
      </c>
      <c r="P341" s="45">
        <v>5.1989930555555546</v>
      </c>
      <c r="Q341" s="64">
        <v>1</v>
      </c>
      <c r="R341" s="64">
        <v>0</v>
      </c>
      <c r="S341" s="64">
        <v>0</v>
      </c>
    </row>
    <row r="342" spans="1:19" x14ac:dyDescent="0.35">
      <c r="A342" s="45" t="s">
        <v>513</v>
      </c>
      <c r="B342" s="46"/>
      <c r="C342" s="32"/>
      <c r="D342" s="45" t="s">
        <v>380</v>
      </c>
      <c r="E342" s="45" t="s">
        <v>422</v>
      </c>
      <c r="F342" s="47">
        <v>15</v>
      </c>
      <c r="G342" s="47"/>
      <c r="H342" s="47"/>
      <c r="I342" s="47">
        <v>4</v>
      </c>
      <c r="J342" s="47">
        <v>1</v>
      </c>
      <c r="K342" s="47">
        <v>0</v>
      </c>
      <c r="L342" s="37">
        <f t="shared" si="18"/>
        <v>0.2</v>
      </c>
      <c r="M342" s="36">
        <f t="shared" si="19"/>
        <v>0</v>
      </c>
      <c r="N342" s="38">
        <f t="shared" si="20"/>
        <v>0</v>
      </c>
      <c r="O342" s="47">
        <v>195</v>
      </c>
      <c r="P342" s="45">
        <v>4.7363310185185199</v>
      </c>
      <c r="Q342" s="64">
        <v>0</v>
      </c>
      <c r="R342" s="64">
        <v>0</v>
      </c>
      <c r="S342" s="64">
        <v>1</v>
      </c>
    </row>
    <row r="343" spans="1:19" x14ac:dyDescent="0.35">
      <c r="A343" s="45" t="s">
        <v>514</v>
      </c>
      <c r="B343" s="46"/>
      <c r="C343" s="32"/>
      <c r="D343" s="45" t="s">
        <v>381</v>
      </c>
      <c r="E343" s="45" t="s">
        <v>422</v>
      </c>
      <c r="F343" s="47">
        <v>11</v>
      </c>
      <c r="G343" s="47"/>
      <c r="H343" s="47"/>
      <c r="I343" s="47">
        <v>8</v>
      </c>
      <c r="J343" s="47">
        <v>1</v>
      </c>
      <c r="K343" s="47">
        <v>1</v>
      </c>
      <c r="L343" s="37">
        <f t="shared" si="18"/>
        <v>0.4</v>
      </c>
      <c r="M343" s="36">
        <f t="shared" si="19"/>
        <v>1</v>
      </c>
      <c r="N343" s="38">
        <f t="shared" si="20"/>
        <v>8</v>
      </c>
      <c r="O343" s="47">
        <v>307</v>
      </c>
      <c r="P343" s="45">
        <v>4.8761805555555551</v>
      </c>
      <c r="Q343" s="64">
        <v>0</v>
      </c>
      <c r="R343" s="64">
        <v>0</v>
      </c>
      <c r="S343" s="64">
        <v>0</v>
      </c>
    </row>
    <row r="344" spans="1:19" x14ac:dyDescent="0.35">
      <c r="A344" s="45" t="s">
        <v>514</v>
      </c>
      <c r="B344" s="46"/>
      <c r="C344" s="32"/>
      <c r="D344" s="45" t="s">
        <v>382</v>
      </c>
      <c r="E344" s="45" t="s">
        <v>422</v>
      </c>
      <c r="F344" s="47">
        <v>12</v>
      </c>
      <c r="G344" s="47"/>
      <c r="H344" s="47"/>
      <c r="I344" s="47">
        <v>4</v>
      </c>
      <c r="J344" s="47">
        <v>0</v>
      </c>
      <c r="K344" s="47">
        <v>1</v>
      </c>
      <c r="L344" s="37">
        <f t="shared" si="18"/>
        <v>0.2</v>
      </c>
      <c r="M344" s="36">
        <f t="shared" si="19"/>
        <v>1</v>
      </c>
      <c r="N344" s="38">
        <f t="shared" si="20"/>
        <v>4</v>
      </c>
      <c r="O344" s="47">
        <v>212</v>
      </c>
      <c r="P344" s="45">
        <v>4.4596990740740745</v>
      </c>
      <c r="Q344" s="64">
        <v>0</v>
      </c>
      <c r="R344" s="64">
        <v>0</v>
      </c>
      <c r="S344" s="64">
        <v>0</v>
      </c>
    </row>
    <row r="345" spans="1:19" x14ac:dyDescent="0.35">
      <c r="A345" s="45" t="s">
        <v>514</v>
      </c>
      <c r="B345" s="46"/>
      <c r="C345" s="32"/>
      <c r="D345" s="45" t="s">
        <v>383</v>
      </c>
      <c r="E345" s="45" t="s">
        <v>422</v>
      </c>
      <c r="F345" s="47">
        <v>7</v>
      </c>
      <c r="G345" s="47"/>
      <c r="H345" s="47"/>
      <c r="I345" s="47">
        <v>6</v>
      </c>
      <c r="J345" s="47">
        <v>0</v>
      </c>
      <c r="K345" s="47">
        <v>0</v>
      </c>
      <c r="L345" s="37">
        <f t="shared" si="18"/>
        <v>0.3</v>
      </c>
      <c r="M345" s="36">
        <f t="shared" si="19"/>
        <v>0</v>
      </c>
      <c r="N345" s="38">
        <f t="shared" si="20"/>
        <v>0</v>
      </c>
      <c r="O345" s="47">
        <v>437</v>
      </c>
      <c r="P345" s="45">
        <v>4.8489351851851854</v>
      </c>
      <c r="Q345" s="64">
        <v>0</v>
      </c>
      <c r="R345" s="64">
        <v>0</v>
      </c>
      <c r="S345" s="64">
        <v>1</v>
      </c>
    </row>
    <row r="346" spans="1:19" x14ac:dyDescent="0.35">
      <c r="A346" s="45" t="s">
        <v>515</v>
      </c>
      <c r="B346" s="46"/>
      <c r="C346" s="32"/>
      <c r="D346" s="45" t="s">
        <v>384</v>
      </c>
      <c r="E346" s="45" t="s">
        <v>422</v>
      </c>
      <c r="F346" s="47">
        <v>10</v>
      </c>
      <c r="G346" s="47"/>
      <c r="H346" s="47"/>
      <c r="I346" s="47">
        <v>4</v>
      </c>
      <c r="J346" s="47">
        <v>2</v>
      </c>
      <c r="K346" s="47">
        <v>0</v>
      </c>
      <c r="L346" s="37">
        <f t="shared" si="18"/>
        <v>0.2</v>
      </c>
      <c r="M346" s="36">
        <f t="shared" si="19"/>
        <v>0</v>
      </c>
      <c r="N346" s="38">
        <f t="shared" si="20"/>
        <v>0</v>
      </c>
      <c r="O346" s="47">
        <v>162</v>
      </c>
      <c r="P346" s="45">
        <v>4.6249189814814819</v>
      </c>
      <c r="Q346" s="64">
        <v>0</v>
      </c>
      <c r="R346" s="64">
        <v>1</v>
      </c>
      <c r="S346" s="64">
        <v>2</v>
      </c>
    </row>
    <row r="347" spans="1:19" x14ac:dyDescent="0.35">
      <c r="A347" s="45" t="s">
        <v>515</v>
      </c>
      <c r="B347" s="46"/>
      <c r="C347" s="32"/>
      <c r="D347" s="45" t="s">
        <v>385</v>
      </c>
      <c r="E347" s="45" t="s">
        <v>422</v>
      </c>
      <c r="F347" s="47">
        <v>13</v>
      </c>
      <c r="G347" s="47"/>
      <c r="H347" s="47"/>
      <c r="I347" s="47">
        <v>2</v>
      </c>
      <c r="J347" s="47">
        <v>0</v>
      </c>
      <c r="K347" s="47">
        <v>0</v>
      </c>
      <c r="L347" s="37">
        <f t="shared" si="18"/>
        <v>0.1</v>
      </c>
      <c r="M347" s="36">
        <f t="shared" si="19"/>
        <v>0</v>
      </c>
      <c r="N347" s="38">
        <f t="shared" si="20"/>
        <v>0</v>
      </c>
      <c r="O347" s="47">
        <v>297</v>
      </c>
      <c r="P347" s="45">
        <v>5.3305439814814823</v>
      </c>
      <c r="Q347" s="64">
        <v>0</v>
      </c>
      <c r="R347" s="64">
        <v>1</v>
      </c>
      <c r="S347" s="64">
        <v>1</v>
      </c>
    </row>
    <row r="348" spans="1:19" x14ac:dyDescent="0.35">
      <c r="A348" s="45" t="s">
        <v>515</v>
      </c>
      <c r="B348" s="46"/>
      <c r="C348" s="32"/>
      <c r="D348" s="45" t="s">
        <v>386</v>
      </c>
      <c r="E348" s="45" t="s">
        <v>422</v>
      </c>
      <c r="F348" s="47">
        <v>1</v>
      </c>
      <c r="G348" s="47"/>
      <c r="H348" s="47"/>
      <c r="I348" s="47">
        <v>1</v>
      </c>
      <c r="J348" s="47">
        <v>0</v>
      </c>
      <c r="K348" s="47">
        <v>1</v>
      </c>
      <c r="L348" s="37">
        <f t="shared" si="18"/>
        <v>0.05</v>
      </c>
      <c r="M348" s="36">
        <f t="shared" si="19"/>
        <v>1</v>
      </c>
      <c r="N348" s="38">
        <f t="shared" si="20"/>
        <v>1</v>
      </c>
      <c r="O348" s="47">
        <v>17</v>
      </c>
      <c r="P348" s="45">
        <v>4.7862615740740742</v>
      </c>
      <c r="Q348" s="64">
        <v>0</v>
      </c>
      <c r="R348" s="64">
        <v>0</v>
      </c>
      <c r="S348" s="64">
        <v>0</v>
      </c>
    </row>
    <row r="349" spans="1:19" x14ac:dyDescent="0.35">
      <c r="A349" s="45" t="s">
        <v>515</v>
      </c>
      <c r="B349" s="46"/>
      <c r="C349" s="32"/>
      <c r="D349" s="45" t="s">
        <v>387</v>
      </c>
      <c r="E349" s="45" t="s">
        <v>422</v>
      </c>
      <c r="F349" s="47">
        <v>5</v>
      </c>
      <c r="G349" s="47"/>
      <c r="H349" s="47"/>
      <c r="I349" s="47">
        <v>1</v>
      </c>
      <c r="J349" s="47">
        <v>0</v>
      </c>
      <c r="K349" s="47">
        <v>0</v>
      </c>
      <c r="L349" s="37">
        <f t="shared" si="18"/>
        <v>0.05</v>
      </c>
      <c r="M349" s="36">
        <f t="shared" si="19"/>
        <v>0</v>
      </c>
      <c r="N349" s="38">
        <f t="shared" si="20"/>
        <v>0</v>
      </c>
      <c r="O349" s="47">
        <v>164</v>
      </c>
      <c r="P349" s="45">
        <v>4.3506365740740733</v>
      </c>
      <c r="Q349" s="64">
        <v>0</v>
      </c>
      <c r="R349" s="64">
        <v>0</v>
      </c>
      <c r="S349" s="64">
        <v>0</v>
      </c>
    </row>
    <row r="350" spans="1:19" x14ac:dyDescent="0.35">
      <c r="A350" s="45" t="s">
        <v>516</v>
      </c>
      <c r="B350" s="46"/>
      <c r="C350" s="32"/>
      <c r="D350" s="45" t="s">
        <v>388</v>
      </c>
      <c r="E350" s="45" t="s">
        <v>422</v>
      </c>
      <c r="F350" s="47">
        <v>12</v>
      </c>
      <c r="G350" s="47"/>
      <c r="H350" s="47"/>
      <c r="I350" s="47">
        <v>3</v>
      </c>
      <c r="J350" s="47">
        <v>0</v>
      </c>
      <c r="K350" s="47">
        <v>0</v>
      </c>
      <c r="L350" s="37">
        <f t="shared" si="18"/>
        <v>0.15</v>
      </c>
      <c r="M350" s="36">
        <f t="shared" si="19"/>
        <v>0</v>
      </c>
      <c r="N350" s="38">
        <f t="shared" si="20"/>
        <v>0</v>
      </c>
      <c r="O350" s="47">
        <v>252</v>
      </c>
      <c r="P350" s="45">
        <v>4.3542013888888889</v>
      </c>
      <c r="Q350" s="64">
        <v>0</v>
      </c>
      <c r="R350" s="64">
        <v>0</v>
      </c>
      <c r="S350" s="64">
        <v>1</v>
      </c>
    </row>
    <row r="351" spans="1:19" x14ac:dyDescent="0.35">
      <c r="A351" s="45" t="s">
        <v>516</v>
      </c>
      <c r="B351" s="46"/>
      <c r="C351" s="32"/>
      <c r="D351" s="45" t="s">
        <v>389</v>
      </c>
      <c r="E351" s="45" t="s">
        <v>422</v>
      </c>
      <c r="F351" s="47">
        <v>9</v>
      </c>
      <c r="G351" s="47"/>
      <c r="H351" s="47"/>
      <c r="I351" s="47">
        <v>2</v>
      </c>
      <c r="J351" s="47">
        <v>0</v>
      </c>
      <c r="K351" s="47">
        <v>0</v>
      </c>
      <c r="L351" s="37">
        <f t="shared" si="18"/>
        <v>0.1</v>
      </c>
      <c r="M351" s="36">
        <f t="shared" si="19"/>
        <v>0</v>
      </c>
      <c r="N351" s="38">
        <f t="shared" si="20"/>
        <v>0</v>
      </c>
      <c r="O351" s="47">
        <v>212</v>
      </c>
      <c r="P351" s="45">
        <v>4.705405092592593</v>
      </c>
      <c r="Q351" s="64">
        <v>0</v>
      </c>
      <c r="R351" s="64">
        <v>0</v>
      </c>
      <c r="S351" s="64">
        <v>1</v>
      </c>
    </row>
    <row r="352" spans="1:19" x14ac:dyDescent="0.35">
      <c r="A352" s="45" t="s">
        <v>517</v>
      </c>
      <c r="B352" s="46"/>
      <c r="C352" s="32"/>
      <c r="D352" s="45" t="s">
        <v>390</v>
      </c>
      <c r="E352" s="45" t="s">
        <v>422</v>
      </c>
      <c r="F352" s="47">
        <v>9</v>
      </c>
      <c r="G352" s="47"/>
      <c r="H352" s="47"/>
      <c r="I352" s="47">
        <v>5</v>
      </c>
      <c r="J352" s="47">
        <v>0</v>
      </c>
      <c r="K352" s="47">
        <v>0</v>
      </c>
      <c r="L352" s="37">
        <f t="shared" si="18"/>
        <v>0.25</v>
      </c>
      <c r="M352" s="36">
        <f t="shared" si="19"/>
        <v>0</v>
      </c>
      <c r="N352" s="38">
        <f t="shared" si="20"/>
        <v>0</v>
      </c>
      <c r="O352" s="47">
        <v>81</v>
      </c>
      <c r="P352" s="45">
        <v>3.8194444444444451</v>
      </c>
      <c r="Q352" s="64">
        <v>1</v>
      </c>
      <c r="R352" s="64">
        <v>0</v>
      </c>
      <c r="S352" s="64">
        <v>0</v>
      </c>
    </row>
    <row r="353" spans="1:19" x14ac:dyDescent="0.35">
      <c r="A353" s="45" t="s">
        <v>517</v>
      </c>
      <c r="B353" s="46"/>
      <c r="C353" s="32"/>
      <c r="D353" s="45" t="s">
        <v>391</v>
      </c>
      <c r="E353" s="45" t="s">
        <v>422</v>
      </c>
      <c r="F353" s="47">
        <v>8</v>
      </c>
      <c r="G353" s="47"/>
      <c r="H353" s="47"/>
      <c r="I353" s="47">
        <v>3</v>
      </c>
      <c r="J353" s="47">
        <v>1</v>
      </c>
      <c r="K353" s="47">
        <v>0</v>
      </c>
      <c r="L353" s="37">
        <f t="shared" si="18"/>
        <v>0.15</v>
      </c>
      <c r="M353" s="36">
        <f t="shared" si="19"/>
        <v>0</v>
      </c>
      <c r="N353" s="38">
        <f t="shared" si="20"/>
        <v>0</v>
      </c>
      <c r="O353" s="47">
        <v>345</v>
      </c>
      <c r="P353" s="45">
        <v>4.97224537037037</v>
      </c>
      <c r="Q353" s="64">
        <v>0</v>
      </c>
      <c r="R353" s="64">
        <v>0</v>
      </c>
      <c r="S353" s="64">
        <v>0</v>
      </c>
    </row>
    <row r="354" spans="1:19" x14ac:dyDescent="0.35">
      <c r="A354" s="45" t="s">
        <v>518</v>
      </c>
      <c r="B354" s="46"/>
      <c r="C354" s="32"/>
      <c r="D354" s="45" t="s">
        <v>392</v>
      </c>
      <c r="E354" s="45" t="s">
        <v>422</v>
      </c>
      <c r="F354" s="47">
        <v>0</v>
      </c>
      <c r="G354" s="47"/>
      <c r="H354" s="47"/>
      <c r="I354" s="47">
        <v>0</v>
      </c>
      <c r="J354" s="47">
        <v>0</v>
      </c>
      <c r="K354" s="47">
        <v>0</v>
      </c>
      <c r="L354" s="37">
        <f t="shared" si="18"/>
        <v>0</v>
      </c>
      <c r="M354" s="36">
        <f t="shared" si="19"/>
        <v>0</v>
      </c>
      <c r="N354" s="38">
        <f t="shared" si="20"/>
        <v>0</v>
      </c>
      <c r="O354" s="47">
        <v>0</v>
      </c>
      <c r="P354" s="45">
        <v>0.28084490740740742</v>
      </c>
      <c r="Q354" s="64">
        <v>0</v>
      </c>
      <c r="R354" s="64">
        <v>0</v>
      </c>
      <c r="S354" s="64">
        <v>0</v>
      </c>
    </row>
    <row r="355" spans="1:19" x14ac:dyDescent="0.35">
      <c r="A355" s="45" t="s">
        <v>518</v>
      </c>
      <c r="B355" s="46"/>
      <c r="C355" s="32"/>
      <c r="D355" s="45" t="s">
        <v>393</v>
      </c>
      <c r="E355" s="45" t="s">
        <v>422</v>
      </c>
      <c r="F355" s="47">
        <v>20</v>
      </c>
      <c r="G355" s="47"/>
      <c r="H355" s="47"/>
      <c r="I355" s="47">
        <v>5</v>
      </c>
      <c r="J355" s="47">
        <v>0</v>
      </c>
      <c r="K355" s="47">
        <v>0</v>
      </c>
      <c r="L355" s="37">
        <f t="shared" si="18"/>
        <v>0.25</v>
      </c>
      <c r="M355" s="36">
        <f t="shared" si="19"/>
        <v>0</v>
      </c>
      <c r="N355" s="38">
        <f t="shared" si="20"/>
        <v>0</v>
      </c>
      <c r="O355" s="47">
        <v>202</v>
      </c>
      <c r="P355" s="45">
        <v>5.2708912037037035</v>
      </c>
      <c r="Q355" s="64">
        <v>0</v>
      </c>
      <c r="R355" s="64">
        <v>0</v>
      </c>
      <c r="S355" s="64">
        <v>1</v>
      </c>
    </row>
    <row r="356" spans="1:19" x14ac:dyDescent="0.35">
      <c r="A356" s="45" t="s">
        <v>518</v>
      </c>
      <c r="B356" s="46"/>
      <c r="C356" s="32"/>
      <c r="D356" s="45" t="s">
        <v>394</v>
      </c>
      <c r="E356" s="45" t="s">
        <v>422</v>
      </c>
      <c r="F356" s="47">
        <v>18</v>
      </c>
      <c r="G356" s="47"/>
      <c r="H356" s="47"/>
      <c r="I356" s="47">
        <v>3</v>
      </c>
      <c r="J356" s="47">
        <v>0</v>
      </c>
      <c r="K356" s="47">
        <v>0</v>
      </c>
      <c r="L356" s="37">
        <f t="shared" si="18"/>
        <v>0.15</v>
      </c>
      <c r="M356" s="36">
        <f t="shared" si="19"/>
        <v>0</v>
      </c>
      <c r="N356" s="38">
        <f t="shared" si="20"/>
        <v>0</v>
      </c>
      <c r="O356" s="47">
        <v>664</v>
      </c>
      <c r="P356" s="45">
        <v>4.5280671296296289</v>
      </c>
      <c r="Q356" s="64">
        <v>0</v>
      </c>
      <c r="R356" s="64">
        <v>0</v>
      </c>
      <c r="S356" s="64">
        <v>1</v>
      </c>
    </row>
    <row r="357" spans="1:19" x14ac:dyDescent="0.35">
      <c r="A357" s="45" t="s">
        <v>518</v>
      </c>
      <c r="B357" s="46"/>
      <c r="C357" s="32"/>
      <c r="D357" s="45" t="s">
        <v>395</v>
      </c>
      <c r="E357" s="45" t="s">
        <v>422</v>
      </c>
      <c r="F357" s="47">
        <v>8</v>
      </c>
      <c r="G357" s="47"/>
      <c r="H357" s="47"/>
      <c r="I357" s="47">
        <v>0</v>
      </c>
      <c r="J357" s="47">
        <v>0</v>
      </c>
      <c r="K357" s="47">
        <v>2</v>
      </c>
      <c r="L357" s="37">
        <f t="shared" si="18"/>
        <v>0</v>
      </c>
      <c r="M357" s="36">
        <f t="shared" si="19"/>
        <v>2</v>
      </c>
      <c r="N357" s="38">
        <f t="shared" si="20"/>
        <v>0</v>
      </c>
      <c r="O357" s="47">
        <v>47</v>
      </c>
      <c r="P357" s="45">
        <v>4.2522685185185178</v>
      </c>
      <c r="Q357" s="64">
        <v>0</v>
      </c>
      <c r="R357" s="64">
        <v>1</v>
      </c>
      <c r="S357" s="64">
        <v>0</v>
      </c>
    </row>
    <row r="358" spans="1:19" x14ac:dyDescent="0.35">
      <c r="A358" s="45" t="s">
        <v>519</v>
      </c>
      <c r="B358" s="46"/>
      <c r="C358" s="32"/>
      <c r="D358" s="45" t="s">
        <v>396</v>
      </c>
      <c r="E358" s="45" t="s">
        <v>422</v>
      </c>
      <c r="F358" s="47">
        <v>21</v>
      </c>
      <c r="G358" s="47"/>
      <c r="H358" s="47"/>
      <c r="I358" s="47">
        <v>8</v>
      </c>
      <c r="J358" s="47">
        <v>0</v>
      </c>
      <c r="K358" s="47">
        <v>1</v>
      </c>
      <c r="L358" s="37">
        <f t="shared" si="18"/>
        <v>0.4</v>
      </c>
      <c r="M358" s="36">
        <f t="shared" si="19"/>
        <v>1</v>
      </c>
      <c r="N358" s="38">
        <f t="shared" si="20"/>
        <v>8</v>
      </c>
      <c r="O358" s="47">
        <v>322</v>
      </c>
      <c r="P358" s="45">
        <v>5.4696064814814811</v>
      </c>
      <c r="Q358" s="64">
        <v>0</v>
      </c>
      <c r="R358" s="64">
        <v>1</v>
      </c>
      <c r="S358" s="64">
        <v>0</v>
      </c>
    </row>
    <row r="359" spans="1:19" x14ac:dyDescent="0.35">
      <c r="A359" s="45" t="s">
        <v>519</v>
      </c>
      <c r="B359" s="46"/>
      <c r="C359" s="32"/>
      <c r="D359" s="45" t="s">
        <v>397</v>
      </c>
      <c r="E359" s="45" t="s">
        <v>422</v>
      </c>
      <c r="F359" s="47">
        <v>22</v>
      </c>
      <c r="G359" s="47"/>
      <c r="H359" s="47"/>
      <c r="I359" s="47">
        <v>5</v>
      </c>
      <c r="J359" s="47">
        <v>0</v>
      </c>
      <c r="K359" s="47">
        <v>0</v>
      </c>
      <c r="L359" s="37">
        <f t="shared" si="18"/>
        <v>0.25</v>
      </c>
      <c r="M359" s="36">
        <f t="shared" si="19"/>
        <v>0</v>
      </c>
      <c r="N359" s="38">
        <f t="shared" si="20"/>
        <v>0</v>
      </c>
      <c r="O359" s="47">
        <v>483</v>
      </c>
      <c r="P359" s="45">
        <v>4.7966319444444441</v>
      </c>
      <c r="Q359" s="64">
        <v>0</v>
      </c>
      <c r="R359" s="64">
        <v>0</v>
      </c>
      <c r="S359" s="64">
        <v>0</v>
      </c>
    </row>
    <row r="360" spans="1:19" x14ac:dyDescent="0.35">
      <c r="A360" s="45" t="s">
        <v>519</v>
      </c>
      <c r="B360" s="46"/>
      <c r="C360" s="32"/>
      <c r="D360" s="45" t="s">
        <v>398</v>
      </c>
      <c r="E360" s="45" t="s">
        <v>422</v>
      </c>
      <c r="F360" s="47">
        <v>3</v>
      </c>
      <c r="G360" s="47"/>
      <c r="H360" s="47"/>
      <c r="I360" s="47">
        <v>0</v>
      </c>
      <c r="J360" s="47">
        <v>0</v>
      </c>
      <c r="K360" s="47">
        <v>0</v>
      </c>
      <c r="L360" s="37">
        <f t="shared" si="18"/>
        <v>0</v>
      </c>
      <c r="M360" s="36">
        <f t="shared" si="19"/>
        <v>0</v>
      </c>
      <c r="N360" s="38">
        <f t="shared" si="20"/>
        <v>0</v>
      </c>
      <c r="O360" s="47">
        <v>20</v>
      </c>
      <c r="P360" s="45">
        <v>3.4101041666666667</v>
      </c>
      <c r="Q360" s="64">
        <v>1</v>
      </c>
      <c r="R360" s="64">
        <v>0</v>
      </c>
      <c r="S360" s="64">
        <v>0</v>
      </c>
    </row>
    <row r="361" spans="1:19" x14ac:dyDescent="0.35">
      <c r="A361" s="45" t="s">
        <v>519</v>
      </c>
      <c r="B361" s="46"/>
      <c r="C361" s="32"/>
      <c r="D361" s="45" t="s">
        <v>399</v>
      </c>
      <c r="E361" s="45" t="s">
        <v>422</v>
      </c>
      <c r="F361" s="47">
        <v>12</v>
      </c>
      <c r="G361" s="47"/>
      <c r="H361" s="47"/>
      <c r="I361" s="47">
        <v>2</v>
      </c>
      <c r="J361" s="47">
        <v>0</v>
      </c>
      <c r="K361" s="47">
        <v>0</v>
      </c>
      <c r="L361" s="37">
        <f t="shared" si="18"/>
        <v>0.1</v>
      </c>
      <c r="M361" s="36">
        <f t="shared" si="19"/>
        <v>0</v>
      </c>
      <c r="N361" s="38">
        <f t="shared" si="20"/>
        <v>0</v>
      </c>
      <c r="O361" s="47">
        <v>362</v>
      </c>
      <c r="P361" s="45">
        <v>4.9747569444444437</v>
      </c>
      <c r="Q361" s="64">
        <v>0</v>
      </c>
      <c r="R361" s="64">
        <v>0</v>
      </c>
      <c r="S361" s="64">
        <v>1</v>
      </c>
    </row>
    <row r="362" spans="1:19" x14ac:dyDescent="0.35">
      <c r="A362" s="45" t="s">
        <v>520</v>
      </c>
      <c r="B362" s="46"/>
      <c r="C362" s="32"/>
      <c r="D362" s="45" t="s">
        <v>400</v>
      </c>
      <c r="E362" s="45" t="s">
        <v>423</v>
      </c>
      <c r="F362" s="47">
        <v>29</v>
      </c>
      <c r="G362" s="47"/>
      <c r="H362" s="47"/>
      <c r="I362" s="47">
        <v>23</v>
      </c>
      <c r="J362" s="47">
        <v>5</v>
      </c>
      <c r="K362" s="47">
        <v>1</v>
      </c>
      <c r="L362" s="37">
        <f t="shared" si="18"/>
        <v>1.1499999999999999</v>
      </c>
      <c r="M362" s="36">
        <f t="shared" si="19"/>
        <v>1</v>
      </c>
      <c r="N362" s="38">
        <f t="shared" si="20"/>
        <v>23</v>
      </c>
      <c r="O362" s="47">
        <v>188</v>
      </c>
      <c r="P362" s="45">
        <v>5.1888773148148148</v>
      </c>
      <c r="Q362" s="64">
        <v>1</v>
      </c>
      <c r="R362" s="64">
        <v>2</v>
      </c>
      <c r="S362" s="64">
        <v>3</v>
      </c>
    </row>
    <row r="363" spans="1:19" x14ac:dyDescent="0.35">
      <c r="A363" s="45" t="s">
        <v>520</v>
      </c>
      <c r="B363" s="46"/>
      <c r="C363" s="32"/>
      <c r="D363" s="45" t="s">
        <v>401</v>
      </c>
      <c r="E363" s="45" t="s">
        <v>423</v>
      </c>
      <c r="F363" s="47">
        <v>15</v>
      </c>
      <c r="G363" s="47"/>
      <c r="H363" s="47"/>
      <c r="I363" s="47">
        <v>12</v>
      </c>
      <c r="J363" s="47">
        <v>0</v>
      </c>
      <c r="K363" s="47">
        <v>0</v>
      </c>
      <c r="L363" s="37">
        <f t="shared" si="18"/>
        <v>0.6</v>
      </c>
      <c r="M363" s="36">
        <f t="shared" si="19"/>
        <v>0</v>
      </c>
      <c r="N363" s="38">
        <f t="shared" si="20"/>
        <v>0</v>
      </c>
      <c r="O363" s="47">
        <v>566</v>
      </c>
      <c r="P363" s="45">
        <v>4.7548842592592591</v>
      </c>
      <c r="Q363" s="64">
        <v>0</v>
      </c>
      <c r="R363" s="64">
        <v>1</v>
      </c>
      <c r="S363" s="64">
        <v>1</v>
      </c>
    </row>
    <row r="364" spans="1:19" x14ac:dyDescent="0.35">
      <c r="A364" s="45" t="s">
        <v>520</v>
      </c>
      <c r="B364" s="46"/>
      <c r="C364" s="32"/>
      <c r="D364" s="45" t="s">
        <v>402</v>
      </c>
      <c r="E364" s="45" t="s">
        <v>423</v>
      </c>
      <c r="F364" s="47">
        <v>14</v>
      </c>
      <c r="G364" s="47"/>
      <c r="H364" s="47"/>
      <c r="I364" s="47">
        <v>10</v>
      </c>
      <c r="J364" s="47">
        <v>2</v>
      </c>
      <c r="K364" s="47">
        <v>0</v>
      </c>
      <c r="L364" s="37">
        <f t="shared" si="18"/>
        <v>0.5</v>
      </c>
      <c r="M364" s="36">
        <f t="shared" si="19"/>
        <v>0</v>
      </c>
      <c r="N364" s="38">
        <f t="shared" si="20"/>
        <v>0</v>
      </c>
      <c r="O364" s="47">
        <v>336</v>
      </c>
      <c r="P364" s="45">
        <v>4.1693171296296292</v>
      </c>
      <c r="Q364" s="64">
        <v>1</v>
      </c>
      <c r="R364" s="64">
        <v>1</v>
      </c>
      <c r="S364" s="64">
        <v>2</v>
      </c>
    </row>
    <row r="365" spans="1:19" x14ac:dyDescent="0.35">
      <c r="A365" s="45" t="s">
        <v>520</v>
      </c>
      <c r="B365" s="46"/>
      <c r="C365" s="32"/>
      <c r="D365" s="45" t="s">
        <v>403</v>
      </c>
      <c r="E365" s="45" t="s">
        <v>423</v>
      </c>
      <c r="F365" s="47">
        <v>22</v>
      </c>
      <c r="G365" s="47"/>
      <c r="H365" s="47"/>
      <c r="I365" s="47">
        <v>17</v>
      </c>
      <c r="J365" s="47">
        <v>2</v>
      </c>
      <c r="K365" s="47">
        <v>1</v>
      </c>
      <c r="L365" s="37">
        <f t="shared" si="18"/>
        <v>0.85</v>
      </c>
      <c r="M365" s="36">
        <f t="shared" si="19"/>
        <v>1</v>
      </c>
      <c r="N365" s="38">
        <f t="shared" si="20"/>
        <v>17</v>
      </c>
      <c r="O365" s="47">
        <v>391</v>
      </c>
      <c r="P365" s="45">
        <v>4.7253240740740736</v>
      </c>
      <c r="Q365" s="64">
        <v>0</v>
      </c>
      <c r="R365" s="64">
        <v>0</v>
      </c>
      <c r="S365" s="64">
        <v>0</v>
      </c>
    </row>
    <row r="366" spans="1:19" x14ac:dyDescent="0.35">
      <c r="A366" s="45" t="s">
        <v>520</v>
      </c>
      <c r="B366" s="46"/>
      <c r="C366" s="32"/>
      <c r="D366" s="45" t="s">
        <v>404</v>
      </c>
      <c r="E366" s="45" t="s">
        <v>423</v>
      </c>
      <c r="F366" s="47">
        <v>15</v>
      </c>
      <c r="G366" s="47"/>
      <c r="H366" s="47"/>
      <c r="I366" s="47">
        <v>11</v>
      </c>
      <c r="J366" s="47">
        <v>1</v>
      </c>
      <c r="K366" s="47">
        <v>0</v>
      </c>
      <c r="L366" s="37">
        <f t="shared" si="18"/>
        <v>0.55000000000000004</v>
      </c>
      <c r="M366" s="36">
        <f t="shared" si="19"/>
        <v>0</v>
      </c>
      <c r="N366" s="38">
        <f t="shared" si="20"/>
        <v>0</v>
      </c>
      <c r="O366" s="47">
        <v>344</v>
      </c>
      <c r="P366" s="45">
        <v>4.2288078703703702</v>
      </c>
      <c r="Q366" s="64">
        <v>0</v>
      </c>
      <c r="R366" s="64">
        <v>0</v>
      </c>
      <c r="S366" s="64">
        <v>1</v>
      </c>
    </row>
    <row r="367" spans="1:19" x14ac:dyDescent="0.35">
      <c r="A367" s="45" t="s">
        <v>520</v>
      </c>
      <c r="B367" s="46"/>
      <c r="C367" s="32"/>
      <c r="D367" s="45" t="s">
        <v>405</v>
      </c>
      <c r="E367" s="45" t="s">
        <v>423</v>
      </c>
      <c r="F367" s="47">
        <v>19</v>
      </c>
      <c r="G367" s="47"/>
      <c r="H367" s="47"/>
      <c r="I367" s="47">
        <v>11</v>
      </c>
      <c r="J367" s="47">
        <v>4</v>
      </c>
      <c r="K367" s="47">
        <v>0</v>
      </c>
      <c r="L367" s="37">
        <f t="shared" si="18"/>
        <v>0.55000000000000004</v>
      </c>
      <c r="M367" s="36">
        <f t="shared" si="19"/>
        <v>0</v>
      </c>
      <c r="N367" s="38">
        <f t="shared" si="20"/>
        <v>0</v>
      </c>
      <c r="O367" s="47">
        <v>384</v>
      </c>
      <c r="P367" s="45">
        <v>4.7655787037037038</v>
      </c>
      <c r="Q367" s="64">
        <v>0</v>
      </c>
      <c r="R367" s="64">
        <v>0</v>
      </c>
      <c r="S367" s="64">
        <v>0</v>
      </c>
    </row>
    <row r="368" spans="1:19" x14ac:dyDescent="0.35">
      <c r="A368" s="45" t="s">
        <v>505</v>
      </c>
      <c r="B368" s="46"/>
      <c r="C368" s="32"/>
      <c r="D368" s="45" t="s">
        <v>406</v>
      </c>
      <c r="E368" s="2" t="s">
        <v>420</v>
      </c>
      <c r="F368" s="47">
        <v>30</v>
      </c>
      <c r="G368" s="47"/>
      <c r="H368" s="47"/>
      <c r="I368" s="47">
        <v>28</v>
      </c>
      <c r="J368" s="47">
        <v>8</v>
      </c>
      <c r="K368" s="47">
        <v>0</v>
      </c>
      <c r="L368" s="37">
        <f t="shared" si="18"/>
        <v>1.4</v>
      </c>
      <c r="M368" s="36">
        <f t="shared" si="19"/>
        <v>0</v>
      </c>
      <c r="N368" s="38">
        <f t="shared" si="20"/>
        <v>0</v>
      </c>
      <c r="O368" s="47">
        <v>338</v>
      </c>
      <c r="P368" s="45">
        <v>4.849814814814815</v>
      </c>
      <c r="Q368" s="64">
        <v>1</v>
      </c>
      <c r="R368" s="64">
        <v>0</v>
      </c>
      <c r="S368" s="64">
        <v>0</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25B85-CD2E-4239-ACE7-85D767B20491}">
  <dimension ref="A3:S22"/>
  <sheetViews>
    <sheetView topLeftCell="A2" workbookViewId="0">
      <selection activeCell="H9" sqref="H9"/>
    </sheetView>
  </sheetViews>
  <sheetFormatPr defaultRowHeight="14.5" x14ac:dyDescent="0.35"/>
  <cols>
    <col min="1" max="1" width="7.54296875" bestFit="1" customWidth="1"/>
    <col min="2" max="2" width="17.6328125" style="62" bestFit="1" customWidth="1"/>
    <col min="3" max="3" width="13" style="62" bestFit="1" customWidth="1"/>
    <col min="4" max="4" width="14.7265625" style="62" bestFit="1" customWidth="1"/>
    <col min="5" max="5" width="16.36328125" bestFit="1" customWidth="1"/>
    <col min="6" max="6" width="17.26953125" bestFit="1" customWidth="1"/>
    <col min="7" max="7" width="18.54296875" bestFit="1" customWidth="1"/>
    <col min="8" max="8" width="15.81640625" bestFit="1" customWidth="1"/>
    <col min="9" max="9" width="16.7265625" bestFit="1" customWidth="1"/>
    <col min="10" max="10" width="18.7265625" bestFit="1" customWidth="1"/>
    <col min="11" max="11" width="11" bestFit="1" customWidth="1"/>
    <col min="12" max="12" width="10" bestFit="1" customWidth="1"/>
    <col min="13" max="13" width="11.7265625" bestFit="1" customWidth="1"/>
    <col min="14" max="14" width="9.26953125" bestFit="1" customWidth="1"/>
    <col min="15" max="15" width="10.08984375" bestFit="1" customWidth="1"/>
    <col min="16" max="16" width="16.26953125" bestFit="1" customWidth="1"/>
    <col min="17" max="17" width="10.7265625" bestFit="1" customWidth="1"/>
    <col min="18" max="18" width="9.36328125" bestFit="1" customWidth="1"/>
    <col min="19" max="20" width="10.7265625" bestFit="1" customWidth="1"/>
  </cols>
  <sheetData>
    <row r="3" spans="1:19" x14ac:dyDescent="0.35">
      <c r="B3" s="9" t="s">
        <v>532</v>
      </c>
      <c r="C3"/>
      <c r="D3"/>
    </row>
    <row r="4" spans="1:19" x14ac:dyDescent="0.35">
      <c r="A4" s="9" t="s">
        <v>37</v>
      </c>
      <c r="B4" t="s">
        <v>407</v>
      </c>
      <c r="C4" t="s">
        <v>408</v>
      </c>
      <c r="D4" t="s">
        <v>409</v>
      </c>
      <c r="E4" t="s">
        <v>410</v>
      </c>
      <c r="F4" t="s">
        <v>411</v>
      </c>
      <c r="G4" t="s">
        <v>413</v>
      </c>
      <c r="H4" t="s">
        <v>412</v>
      </c>
      <c r="I4" t="s">
        <v>414</v>
      </c>
      <c r="J4" t="s">
        <v>415</v>
      </c>
      <c r="K4" t="s">
        <v>416</v>
      </c>
      <c r="L4" t="s">
        <v>417</v>
      </c>
      <c r="M4" t="s">
        <v>418</v>
      </c>
      <c r="N4" t="s">
        <v>419</v>
      </c>
      <c r="O4" t="s">
        <v>420</v>
      </c>
      <c r="P4" t="s">
        <v>421</v>
      </c>
      <c r="Q4" t="s">
        <v>422</v>
      </c>
      <c r="R4" t="s">
        <v>423</v>
      </c>
      <c r="S4" t="s">
        <v>531</v>
      </c>
    </row>
    <row r="5" spans="1:19" x14ac:dyDescent="0.35">
      <c r="A5" s="62" t="s">
        <v>533</v>
      </c>
      <c r="B5" s="63">
        <v>6</v>
      </c>
      <c r="C5" s="63">
        <v>3</v>
      </c>
      <c r="D5" s="63">
        <v>6</v>
      </c>
      <c r="E5" s="63">
        <v>2</v>
      </c>
      <c r="F5" s="63">
        <v>6</v>
      </c>
      <c r="G5" s="63">
        <v>44</v>
      </c>
      <c r="H5" s="63">
        <v>3</v>
      </c>
      <c r="I5" s="63">
        <v>2</v>
      </c>
      <c r="J5" s="63">
        <v>2</v>
      </c>
      <c r="K5" s="63">
        <v>17</v>
      </c>
      <c r="L5" s="63">
        <v>1</v>
      </c>
      <c r="M5" s="63">
        <v>15</v>
      </c>
      <c r="N5" s="63">
        <v>2</v>
      </c>
      <c r="O5" s="63">
        <v>10</v>
      </c>
      <c r="P5" s="63">
        <v>17</v>
      </c>
      <c r="Q5" s="63">
        <v>2</v>
      </c>
      <c r="R5" s="63">
        <v>2</v>
      </c>
      <c r="S5" s="63">
        <v>140</v>
      </c>
    </row>
    <row r="6" spans="1:19" x14ac:dyDescent="0.35">
      <c r="A6" s="62" t="s">
        <v>534</v>
      </c>
      <c r="B6" s="63">
        <v>2</v>
      </c>
      <c r="C6" s="63">
        <v>8</v>
      </c>
      <c r="D6" s="63">
        <v>4</v>
      </c>
      <c r="E6" s="63">
        <v>0</v>
      </c>
      <c r="F6" s="63">
        <v>3</v>
      </c>
      <c r="G6" s="63">
        <v>30</v>
      </c>
      <c r="H6" s="63">
        <v>5</v>
      </c>
      <c r="I6" s="63">
        <v>4</v>
      </c>
      <c r="J6" s="63">
        <v>1</v>
      </c>
      <c r="K6" s="63">
        <v>21</v>
      </c>
      <c r="L6" s="63">
        <v>5</v>
      </c>
      <c r="M6" s="63">
        <v>17</v>
      </c>
      <c r="N6" s="63">
        <v>2</v>
      </c>
      <c r="O6" s="63">
        <v>7</v>
      </c>
      <c r="P6" s="63">
        <v>13</v>
      </c>
      <c r="Q6" s="63">
        <v>4</v>
      </c>
      <c r="R6" s="63">
        <v>4</v>
      </c>
      <c r="S6" s="63">
        <v>130</v>
      </c>
    </row>
    <row r="7" spans="1:19" x14ac:dyDescent="0.35">
      <c r="A7" s="62" t="s">
        <v>535</v>
      </c>
      <c r="B7" s="63">
        <v>2</v>
      </c>
      <c r="C7" s="63">
        <v>2</v>
      </c>
      <c r="D7" s="63">
        <v>13</v>
      </c>
      <c r="E7" s="63">
        <v>3</v>
      </c>
      <c r="F7" s="63">
        <v>4</v>
      </c>
      <c r="G7" s="63">
        <v>20</v>
      </c>
      <c r="H7" s="63">
        <v>4</v>
      </c>
      <c r="I7" s="63">
        <v>4</v>
      </c>
      <c r="J7" s="63">
        <v>1</v>
      </c>
      <c r="K7" s="63">
        <v>49</v>
      </c>
      <c r="L7" s="63">
        <v>10</v>
      </c>
      <c r="M7" s="63">
        <v>8</v>
      </c>
      <c r="N7" s="63">
        <v>6</v>
      </c>
      <c r="O7" s="63">
        <v>10</v>
      </c>
      <c r="P7" s="63">
        <v>13</v>
      </c>
      <c r="Q7" s="63">
        <v>10</v>
      </c>
      <c r="R7" s="63">
        <v>7</v>
      </c>
      <c r="S7" s="63">
        <v>166</v>
      </c>
    </row>
    <row r="8" spans="1:19" x14ac:dyDescent="0.35">
      <c r="B8"/>
      <c r="C8"/>
      <c r="D8"/>
    </row>
    <row r="9" spans="1:19" x14ac:dyDescent="0.35">
      <c r="B9"/>
      <c r="C9"/>
      <c r="D9"/>
    </row>
    <row r="10" spans="1:19" x14ac:dyDescent="0.35">
      <c r="B10"/>
      <c r="C10"/>
      <c r="D10"/>
    </row>
    <row r="11" spans="1:19" x14ac:dyDescent="0.35">
      <c r="B11"/>
      <c r="C11"/>
      <c r="D11"/>
    </row>
    <row r="12" spans="1:19" x14ac:dyDescent="0.35">
      <c r="B12"/>
      <c r="C12"/>
      <c r="D12"/>
    </row>
    <row r="13" spans="1:19" x14ac:dyDescent="0.35">
      <c r="B13"/>
      <c r="C13"/>
      <c r="D13"/>
    </row>
    <row r="14" spans="1:19" x14ac:dyDescent="0.35">
      <c r="B14"/>
      <c r="C14"/>
      <c r="D14"/>
    </row>
    <row r="15" spans="1:19" x14ac:dyDescent="0.35">
      <c r="B15"/>
      <c r="C15"/>
      <c r="D15"/>
    </row>
    <row r="16" spans="1:19" x14ac:dyDescent="0.35">
      <c r="B16"/>
      <c r="C16"/>
      <c r="D16"/>
    </row>
    <row r="17" spans="2:4" x14ac:dyDescent="0.35">
      <c r="B17"/>
      <c r="C17"/>
      <c r="D17"/>
    </row>
    <row r="18" spans="2:4" x14ac:dyDescent="0.35">
      <c r="B18"/>
      <c r="C18"/>
      <c r="D18"/>
    </row>
    <row r="19" spans="2:4" x14ac:dyDescent="0.35">
      <c r="B19"/>
      <c r="C19"/>
      <c r="D19"/>
    </row>
    <row r="20" spans="2:4" x14ac:dyDescent="0.35">
      <c r="B20"/>
      <c r="C20"/>
      <c r="D20"/>
    </row>
    <row r="21" spans="2:4" x14ac:dyDescent="0.35">
      <c r="B21"/>
      <c r="C21"/>
      <c r="D21"/>
    </row>
    <row r="22" spans="2:4" x14ac:dyDescent="0.35">
      <c r="B22"/>
      <c r="C22"/>
      <c r="D22"/>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Pivots(Rec)</vt:lpstr>
      <vt:lpstr>Pivots(Brnch)</vt:lpstr>
      <vt:lpstr>Team Wise Dashboard</vt:lpstr>
      <vt:lpstr>Manager Dashboard</vt:lpstr>
      <vt:lpstr>Rawdata_JD</vt:lpstr>
      <vt:lpstr>Sheet2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Deepak Kumar2</dc:creator>
  <cp:lastModifiedBy>Deepak Kumar</cp:lastModifiedBy>
  <dcterms:created xsi:type="dcterms:W3CDTF">2018-06-26T21:24:16Z</dcterms:created>
  <dcterms:modified xsi:type="dcterms:W3CDTF">2025-05-30T16:29:21Z</dcterms:modified>
</cp:coreProperties>
</file>